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dores" sheetId="1" r:id="rId5"/>
    <sheet state="visible" name="cont_usuario" sheetId="2" r:id="rId6"/>
    <sheet state="visible" name="extras_costos" sheetId="3" r:id="rId7"/>
  </sheets>
  <definedNames>
    <definedName hidden="1" localSheetId="0" name="_xlnm._FilterDatabase">contadores!$A$1:$AA$10</definedName>
    <definedName hidden="1" localSheetId="1" name="_xlnm._FilterDatabase">cont_usuario!$A$1:$Z$74</definedName>
  </definedNames>
  <calcPr/>
</workbook>
</file>

<file path=xl/sharedStrings.xml><?xml version="1.0" encoding="utf-8"?>
<sst xmlns="http://schemas.openxmlformats.org/spreadsheetml/2006/main" count="325" uniqueCount="225">
  <si>
    <t>total_contratado_bn</t>
  </si>
  <si>
    <t>IMPRESORA</t>
  </si>
  <si>
    <t>costo_color</t>
  </si>
  <si>
    <t>costo_bn</t>
  </si>
  <si>
    <t>costo_bn_extra</t>
  </si>
  <si>
    <t>USUARIO</t>
  </si>
  <si>
    <t>NOMBRE</t>
  </si>
  <si>
    <t xml:space="preserve">TIPO </t>
  </si>
  <si>
    <t>JUN / BN</t>
  </si>
  <si>
    <t>JUN COLOR</t>
  </si>
  <si>
    <t>UBICACIÓN</t>
  </si>
  <si>
    <t>JUL / BN</t>
  </si>
  <si>
    <t>S/N</t>
  </si>
  <si>
    <t>JUL COLOR</t>
  </si>
  <si>
    <t>TTL COPIAS / IMPRESIONES</t>
  </si>
  <si>
    <t>AGO / BN</t>
  </si>
  <si>
    <t>CONTADOR MAYO</t>
  </si>
  <si>
    <t>AGO COLOR</t>
  </si>
  <si>
    <t>SEP / BN</t>
  </si>
  <si>
    <t>CONTADOR JUNIO</t>
  </si>
  <si>
    <t>SEP COLOR</t>
  </si>
  <si>
    <t>OCT / BN</t>
  </si>
  <si>
    <t>OCT COLOR</t>
  </si>
  <si>
    <t>NOV / BN</t>
  </si>
  <si>
    <t>NOV / COLOR</t>
  </si>
  <si>
    <t>DIC / BN</t>
  </si>
  <si>
    <t>DIC / COLOR</t>
  </si>
  <si>
    <t>TTL JUNIO</t>
  </si>
  <si>
    <t>60310</t>
  </si>
  <si>
    <t>CONTADOR JULIO</t>
  </si>
  <si>
    <t>0627</t>
  </si>
  <si>
    <t>TTL JULIO</t>
  </si>
  <si>
    <t>ISABELA ALDANA</t>
  </si>
  <si>
    <t>CONTADOR AGOSTO</t>
  </si>
  <si>
    <t>TTL AGOSTO</t>
  </si>
  <si>
    <t>CONTADOR SEPTIEMBRE</t>
  </si>
  <si>
    <t>TTL SEPTIEMBRE</t>
  </si>
  <si>
    <t>CONTADOR OCTUBRE</t>
  </si>
  <si>
    <t>TTL OCTUBRE</t>
  </si>
  <si>
    <t>1312</t>
  </si>
  <si>
    <t>CONTADOR NOVIEMBRE</t>
  </si>
  <si>
    <t>NATALIA RENGIFO</t>
  </si>
  <si>
    <t>TTL NOVIEMBRE</t>
  </si>
  <si>
    <t>CONTADOR DICIEMBRE</t>
  </si>
  <si>
    <t>TTL DICIEMBRE</t>
  </si>
  <si>
    <t>1982</t>
  </si>
  <si>
    <t>LUCIA JARAMILLO</t>
  </si>
  <si>
    <t>Ricoh MP</t>
  </si>
  <si>
    <t>B/N</t>
  </si>
  <si>
    <t>Piso 1 - OPERACIONES</t>
  </si>
  <si>
    <t>00227</t>
  </si>
  <si>
    <t>2023</t>
  </si>
  <si>
    <t>NATALIA RAMIREZ</t>
  </si>
  <si>
    <t>TTL JUN</t>
  </si>
  <si>
    <t>2024</t>
  </si>
  <si>
    <t>CAMILA LOPEZ</t>
  </si>
  <si>
    <t>EXTRA_JUN</t>
  </si>
  <si>
    <t>COSTO EXTRA JUN</t>
  </si>
  <si>
    <t>COSTO COLOR JUN</t>
  </si>
  <si>
    <t>TTL JUL</t>
  </si>
  <si>
    <t>EXTRA JUL</t>
  </si>
  <si>
    <t>COSTO EXTRA JUL</t>
  </si>
  <si>
    <t>COSTO COLOR JUL</t>
  </si>
  <si>
    <t>TTL AGO</t>
  </si>
  <si>
    <t>EXTRA AGO</t>
  </si>
  <si>
    <t>COSTO EXTRA AGO</t>
  </si>
  <si>
    <t>COSTO COLOR AGO</t>
  </si>
  <si>
    <t>TTL SEP</t>
  </si>
  <si>
    <t>2026</t>
  </si>
  <si>
    <t>EXTRA SEP</t>
  </si>
  <si>
    <t>DIANA OROZCO</t>
  </si>
  <si>
    <t>COSTO EXTRA SEP</t>
  </si>
  <si>
    <t>COSTO COLOR SEP</t>
  </si>
  <si>
    <t>TTL OCT</t>
  </si>
  <si>
    <t>EXTRA OCT</t>
  </si>
  <si>
    <t>COSTO EXTRA OCT</t>
  </si>
  <si>
    <t>COSTO COLOR OCT</t>
  </si>
  <si>
    <t>TTL NOV</t>
  </si>
  <si>
    <t>EXTRA NOV</t>
  </si>
  <si>
    <t>COSTO EXTRA NOV</t>
  </si>
  <si>
    <t>COSTO COLOR NOV</t>
  </si>
  <si>
    <t>TTL DIC</t>
  </si>
  <si>
    <t>EXTRA DIC</t>
  </si>
  <si>
    <t>3232</t>
  </si>
  <si>
    <t>COSTO EXTRA DIC</t>
  </si>
  <si>
    <t>MARIA PAULA</t>
  </si>
  <si>
    <t>COSTO COLOR DIC</t>
  </si>
  <si>
    <t>3918</t>
  </si>
  <si>
    <t>CATALINA LASSO</t>
  </si>
  <si>
    <t>4040</t>
  </si>
  <si>
    <t>JUAN CARLOS OCAMPO</t>
  </si>
  <si>
    <t>4141</t>
  </si>
  <si>
    <t>VALENTINA MOLANO</t>
  </si>
  <si>
    <t>0711</t>
  </si>
  <si>
    <t>RICARDO PACHON</t>
  </si>
  <si>
    <t>0001</t>
  </si>
  <si>
    <t>HAROLD ARRIAGA</t>
  </si>
  <si>
    <t>1126</t>
  </si>
  <si>
    <t>RRHH PROMOTORES</t>
  </si>
  <si>
    <t>FIDEL CASTRO</t>
  </si>
  <si>
    <t>2020</t>
  </si>
  <si>
    <t>RRHH MEDIADORES</t>
  </si>
  <si>
    <t>4610</t>
  </si>
  <si>
    <t>MONICA ESCOBAR</t>
  </si>
  <si>
    <t>Kyocera M3655</t>
  </si>
  <si>
    <t>4415</t>
  </si>
  <si>
    <t>Piso 1 - PSICOLOGIA</t>
  </si>
  <si>
    <t>ISABELLA VELASQUEZ</t>
  </si>
  <si>
    <t>08082</t>
  </si>
  <si>
    <t>6430</t>
  </si>
  <si>
    <t>SOLEY CHACON</t>
  </si>
  <si>
    <t>1010</t>
  </si>
  <si>
    <t>GESTION DOCUMENTAL</t>
  </si>
  <si>
    <t>1905</t>
  </si>
  <si>
    <t>RRHH INFRAESTRUCTURA</t>
  </si>
  <si>
    <t>Ricoh MP 5054</t>
  </si>
  <si>
    <t>Piso 2 - CONT</t>
  </si>
  <si>
    <t>00084</t>
  </si>
  <si>
    <t>2021</t>
  </si>
  <si>
    <t>LEIDY MOLANO</t>
  </si>
  <si>
    <t>0002</t>
  </si>
  <si>
    <t>PISO2</t>
  </si>
  <si>
    <t>5010</t>
  </si>
  <si>
    <t>STEPHANY</t>
  </si>
  <si>
    <t>Ricoh MPC 4504</t>
  </si>
  <si>
    <t>0101</t>
  </si>
  <si>
    <t>ANA QUINTERO</t>
  </si>
  <si>
    <t>Piso 2 - PROYECTOS</t>
  </si>
  <si>
    <t>10089</t>
  </si>
  <si>
    <t>1234</t>
  </si>
  <si>
    <t>ALEJANDRO MARQUEZ</t>
  </si>
  <si>
    <t>ESNEYDER</t>
  </si>
  <si>
    <t>5050</t>
  </si>
  <si>
    <t>KTInfraes</t>
  </si>
  <si>
    <t>Color</t>
  </si>
  <si>
    <t>C-10089</t>
  </si>
  <si>
    <t>5060</t>
  </si>
  <si>
    <t>NKpromo</t>
  </si>
  <si>
    <t>1107</t>
  </si>
  <si>
    <t>CIELO CASTILLO</t>
  </si>
  <si>
    <t>1329</t>
  </si>
  <si>
    <t>KELLY GOMEZ</t>
  </si>
  <si>
    <t>Piso 3 - PROMOTORES</t>
  </si>
  <si>
    <t>60686</t>
  </si>
  <si>
    <t>1026</t>
  </si>
  <si>
    <t>VALERIA HERNANDEZ</t>
  </si>
  <si>
    <t>0855</t>
  </si>
  <si>
    <t>MAURICIO ROSALES</t>
  </si>
  <si>
    <t>C-60686</t>
  </si>
  <si>
    <t>0856</t>
  </si>
  <si>
    <t>MILTON</t>
  </si>
  <si>
    <t>ISABEL HERNANDEZ</t>
  </si>
  <si>
    <t>Ricoh MP 4504</t>
  </si>
  <si>
    <t>1111</t>
  </si>
  <si>
    <t>JARDANY VILLANUEVA</t>
  </si>
  <si>
    <t>Piso 4 - COM</t>
  </si>
  <si>
    <t>1212</t>
  </si>
  <si>
    <t>CAROLINA CARDENAS</t>
  </si>
  <si>
    <t>C-60310</t>
  </si>
  <si>
    <t>1313</t>
  </si>
  <si>
    <t>JUAN DIEGO</t>
  </si>
  <si>
    <t>1414</t>
  </si>
  <si>
    <t>EMILIO BLANDON</t>
  </si>
  <si>
    <t>1515</t>
  </si>
  <si>
    <t>CLAUDIA VALDES</t>
  </si>
  <si>
    <t>1703</t>
  </si>
  <si>
    <t>PAOLA BLANCO</t>
  </si>
  <si>
    <t>1919</t>
  </si>
  <si>
    <t>VALENTINA</t>
  </si>
  <si>
    <t>LUCIAJ</t>
  </si>
  <si>
    <t>1998</t>
  </si>
  <si>
    <t>JCARTAGE</t>
  </si>
  <si>
    <t>DANIEL FAJARDO</t>
  </si>
  <si>
    <t>ALEXANDER RODRIGUEZ</t>
  </si>
  <si>
    <t>2025</t>
  </si>
  <si>
    <t>WILMAN MONTOYA</t>
  </si>
  <si>
    <t>LEYDI SALCEDO</t>
  </si>
  <si>
    <t>20266</t>
  </si>
  <si>
    <t>DARIO GAMBOA</t>
  </si>
  <si>
    <t>2121</t>
  </si>
  <si>
    <t>JAMES BARRERA</t>
  </si>
  <si>
    <t>2126</t>
  </si>
  <si>
    <t>PEDRO NUÑEZ</t>
  </si>
  <si>
    <t>2329</t>
  </si>
  <si>
    <t>JUAN ARENAS</t>
  </si>
  <si>
    <t>2531</t>
  </si>
  <si>
    <t>NICOLAS GALVEZ</t>
  </si>
  <si>
    <t>2712</t>
  </si>
  <si>
    <t>NICOLE ENCARNACION</t>
  </si>
  <si>
    <t>3636</t>
  </si>
  <si>
    <t>PAULA SALAZAR</t>
  </si>
  <si>
    <t>4747</t>
  </si>
  <si>
    <t>JUAN SARASTI</t>
  </si>
  <si>
    <t>5959</t>
  </si>
  <si>
    <t>KATHERINE SIERRA</t>
  </si>
  <si>
    <t>6666</t>
  </si>
  <si>
    <t>SANDRA DICTTO</t>
  </si>
  <si>
    <t>9176</t>
  </si>
  <si>
    <t>BEATRIZ ROJAS</t>
  </si>
  <si>
    <t>0202</t>
  </si>
  <si>
    <t>Harold</t>
  </si>
  <si>
    <t>0625</t>
  </si>
  <si>
    <t>PAOLAH</t>
  </si>
  <si>
    <t>1016</t>
  </si>
  <si>
    <t>JOHN EIDER</t>
  </si>
  <si>
    <t>1130</t>
  </si>
  <si>
    <t>ANDRES VILLARREAL</t>
  </si>
  <si>
    <t>DANIEL M</t>
  </si>
  <si>
    <t>1973</t>
  </si>
  <si>
    <t>LUIS FV</t>
  </si>
  <si>
    <t>Esneyder</t>
  </si>
  <si>
    <t>2022</t>
  </si>
  <si>
    <t>LUZ STELLA VALENCIA</t>
  </si>
  <si>
    <t>2028</t>
  </si>
  <si>
    <t>KAROL</t>
  </si>
  <si>
    <t>2029</t>
  </si>
  <si>
    <t>SCAN INFRA</t>
  </si>
  <si>
    <t>3113</t>
  </si>
  <si>
    <t>ARTURO MURILLAS</t>
  </si>
  <si>
    <t>5601</t>
  </si>
  <si>
    <t>LAURA</t>
  </si>
  <si>
    <t>5678</t>
  </si>
  <si>
    <t>CONTABILIDAD</t>
  </si>
  <si>
    <t>9150</t>
  </si>
  <si>
    <t>STEPHANY PALACIO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</si>
</sst>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"/>
    <numFmt numFmtId="165" formatCode="\$#,##0"/>
  </numFmts>
  <fonts count="9">
    <font>
      <sz val="10.0"/>
      <color rgb="FF000000"/>
      <name val="Arial"/>
      <scheme val="minor"/>
    </font>
    <font>
      <sz val="9.0"/>
      <color theme="1"/>
      <name val="Roboto Mono"/>
    </font>
    <font>
      <b/>
      <sz val="9.0"/>
      <color theme="1"/>
      <name val="Roboto Mono"/>
    </font>
    <font>
      <b/>
      <sz val="9.0"/>
      <color rgb="FF0000FF"/>
      <name val="Roboto Mono"/>
    </font>
    <font>
      <b/>
      <sz val="9.0"/>
      <color rgb="FF274E13"/>
      <name val="Roboto Mono"/>
    </font>
    <font>
      <sz val="9.0"/>
      <color rgb="FF0000FF"/>
      <name val="Roboto Mono"/>
    </font>
    <font>
      <sz val="9.0"/>
      <color rgb="FF000000"/>
      <name val="Roboto Mono"/>
    </font>
    <font>
      <sz val="10.0"/>
      <color rgb="FF000000"/>
      <name val="Roboto Mono"/>
    </font>
    <font>
      <color theme="1"/>
      <name val="Roboto Mono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1" numFmtId="49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2" fontId="5" numFmtId="0" xfId="0" applyAlignment="1" applyBorder="1" applyFill="1" applyFont="1">
      <alignment shrinkToFit="0" vertical="center" wrapText="0"/>
    </xf>
    <xf borderId="1" fillId="2" fontId="5" numFmtId="0" xfId="0" applyAlignment="1" applyBorder="1" applyFill="1" applyFont="1">
      <alignment shrinkToFit="0" vertical="center" wrapText="1"/>
    </xf>
    <xf borderId="1" fillId="2" fontId="3" numFmtId="0" xfId="0" applyAlignment="1" applyBorder="1" applyFill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1" fillId="2" fontId="5" numFmtId="165" xfId="0" applyAlignment="1" applyBorder="1" applyFill="1" applyFont="1" applyNumberFormat="1">
      <alignment shrinkToFit="0" vertical="center" wrapText="0"/>
    </xf>
    <xf borderId="1" fillId="5" fontId="1" numFmtId="0" xfId="0" applyAlignment="1" applyBorder="1" applyFill="1" applyFont="1">
      <alignment shrinkToFit="0" vertical="center" wrapText="0"/>
    </xf>
    <xf borderId="1" fillId="5" fontId="1" numFmtId="0" xfId="0" applyAlignment="1" applyBorder="1" applyFill="1" applyFont="1">
      <alignment shrinkToFit="0" vertical="center" wrapText="1"/>
    </xf>
    <xf borderId="1" fillId="6" fontId="1" numFmtId="0" xfId="0" applyAlignment="1" applyBorder="1" applyFill="1" applyFont="1">
      <alignment shrinkToFit="0" vertical="center" wrapText="0"/>
    </xf>
    <xf borderId="1" fillId="6" fontId="1" numFmtId="0" xfId="0" applyAlignment="1" applyBorder="1" applyFill="1" applyFont="1">
      <alignment shrinkToFit="0" vertical="center" wrapText="1"/>
    </xf>
    <xf borderId="1" fillId="7" fontId="1" numFmtId="49" xfId="0" applyAlignment="1" applyBorder="1" applyFill="1" applyFont="1" applyNumberFormat="1">
      <alignment horizontal="left" shrinkToFit="0" vertical="bottom" wrapText="0"/>
    </xf>
    <xf borderId="1" fillId="7" fontId="1" numFmtId="0" xfId="0" applyAlignment="1" applyBorder="1" applyFill="1" applyFont="1">
      <alignment horizontal="left" shrinkToFit="0" vertical="bottom" wrapText="0"/>
    </xf>
    <xf borderId="1" fillId="4" fontId="1" numFmtId="0" xfId="0" applyAlignment="1" applyBorder="1" applyFill="1" applyFont="1">
      <alignment shrinkToFit="0" vertical="center" wrapText="0"/>
    </xf>
    <xf borderId="1" fillId="4" fontId="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2" fontId="5" numFmtId="164" xfId="0" applyAlignment="1" applyBorder="1" applyFill="1" applyFont="1" applyNumberFormat="1">
      <alignment shrinkToFit="0" vertical="center" wrapText="0"/>
    </xf>
    <xf borderId="0" fillId="0" fontId="1" numFmtId="0" xfId="0" applyFont="1"/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0" fontId="6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13.63"/>
    <col customWidth="1" min="2" max="2" width="8.0"/>
    <col customWidth="1" min="3" max="3" width="12.38"/>
    <col customWidth="1" min="4" max="4" width="7.25"/>
    <col customWidth="1" min="5" max="5" width="14.25"/>
    <col customWidth="1" min="6" max="7" width="10.75"/>
    <col customWidth="1" min="8" max="8" width="8.0"/>
    <col customWidth="1" min="9" max="9" width="10.75"/>
    <col customWidth="1" min="10" max="10" width="8.25"/>
    <col customWidth="1" min="11" max="11" width="10.75"/>
    <col customWidth="1" min="12" max="12" width="8.88"/>
    <col customWidth="1" min="13" max="14" width="12.5"/>
    <col customWidth="1" min="15" max="15" width="10.75"/>
    <col customWidth="1" min="16" max="16" width="9.75"/>
    <col customWidth="1" min="17" max="17" width="11.63"/>
    <col customWidth="1" min="18" max="18" width="11.5"/>
    <col customWidth="1" min="19" max="20" width="11.63"/>
  </cols>
  <sheetData>
    <row r="1" ht="42.75" customHeight="1">
      <c r="A1" s="3" t="s">
        <v>1</v>
      </c>
      <c r="B1" s="3" t="s">
        <v>7</v>
      </c>
      <c r="C1" s="4" t="s">
        <v>10</v>
      </c>
      <c r="D1" s="3" t="s">
        <v>12</v>
      </c>
      <c r="E1" s="4" t="s">
        <v>14</v>
      </c>
      <c r="F1" s="4" t="s">
        <v>16</v>
      </c>
      <c r="G1" s="4" t="s">
        <v>19</v>
      </c>
      <c r="H1" s="5" t="s">
        <v>27</v>
      </c>
      <c r="I1" s="4" t="s">
        <v>29</v>
      </c>
      <c r="J1" s="5" t="s">
        <v>31</v>
      </c>
      <c r="K1" s="4" t="s">
        <v>33</v>
      </c>
      <c r="L1" s="5" t="s">
        <v>34</v>
      </c>
      <c r="M1" s="4" t="s">
        <v>35</v>
      </c>
      <c r="N1" s="5" t="s">
        <v>36</v>
      </c>
      <c r="O1" s="10" t="s">
        <v>37</v>
      </c>
      <c r="P1" s="11" t="s">
        <v>38</v>
      </c>
      <c r="Q1" s="10" t="s">
        <v>40</v>
      </c>
      <c r="R1" s="11" t="s">
        <v>42</v>
      </c>
      <c r="S1" s="10" t="s">
        <v>43</v>
      </c>
      <c r="T1" s="11" t="s">
        <v>44</v>
      </c>
      <c r="U1" s="1"/>
      <c r="V1" s="1"/>
      <c r="W1" s="1"/>
      <c r="X1" s="1"/>
      <c r="Y1" s="1"/>
      <c r="Z1" s="1"/>
      <c r="AA1" s="1"/>
    </row>
    <row r="2" ht="32.25" customHeight="1">
      <c r="A2" s="1" t="s">
        <v>47</v>
      </c>
      <c r="B2" s="1" t="s">
        <v>48</v>
      </c>
      <c r="C2" s="10" t="s">
        <v>49</v>
      </c>
      <c r="D2" s="12" t="s">
        <v>50</v>
      </c>
      <c r="E2" s="1">
        <v>5000.0</v>
      </c>
      <c r="F2" s="1">
        <v>102427.0</v>
      </c>
      <c r="G2" s="1">
        <v>110639.0</v>
      </c>
      <c r="H2" s="15">
        <f t="shared" ref="H2:H10" si="1">IF(G2="","",G2-F2)</f>
        <v>8212</v>
      </c>
      <c r="I2" s="1">
        <v>116524.0</v>
      </c>
      <c r="J2" s="15">
        <f t="shared" ref="J2:J10" si="2">IF(I2="","",I2-G2)</f>
        <v>5885</v>
      </c>
      <c r="K2" s="10">
        <v>121905.0</v>
      </c>
      <c r="L2" s="16">
        <f t="shared" ref="L2:L10" si="3">IF(K2="","",K2-I2)</f>
        <v>5381</v>
      </c>
      <c r="M2" s="10"/>
      <c r="N2" s="15" t="str">
        <f t="shared" ref="N2:N10" si="4">IF(M2="","",M2-K2)</f>
        <v/>
      </c>
      <c r="O2" s="1"/>
      <c r="P2" s="15" t="str">
        <f t="shared" ref="P2:P10" si="5">IF(O2="","",O2-M2)</f>
        <v/>
      </c>
      <c r="Q2" s="1"/>
      <c r="R2" s="17" t="str">
        <f t="shared" ref="R2:R10" si="6">IF(Q2="","",Q2-O2)</f>
        <v/>
      </c>
      <c r="S2" s="1"/>
      <c r="T2" s="17" t="str">
        <f t="shared" ref="T2:T10" si="7">IF(S2="","",S2-Q2)</f>
        <v/>
      </c>
      <c r="U2" s="1"/>
      <c r="V2" s="1"/>
      <c r="W2" s="1"/>
      <c r="X2" s="1"/>
      <c r="Y2" s="1"/>
      <c r="Z2" s="1"/>
      <c r="AA2" s="1"/>
    </row>
    <row r="3" ht="21.75" customHeight="1">
      <c r="A3" s="1" t="s">
        <v>104</v>
      </c>
      <c r="B3" s="1" t="s">
        <v>48</v>
      </c>
      <c r="C3" s="10" t="s">
        <v>106</v>
      </c>
      <c r="D3" s="18" t="s">
        <v>108</v>
      </c>
      <c r="E3" s="1">
        <v>5000.0</v>
      </c>
      <c r="F3" s="1">
        <v>202373.0</v>
      </c>
      <c r="G3" s="1">
        <v>210918.0</v>
      </c>
      <c r="H3" s="15">
        <f t="shared" si="1"/>
        <v>8545</v>
      </c>
      <c r="I3" s="1">
        <v>216813.0</v>
      </c>
      <c r="J3" s="15">
        <f t="shared" si="2"/>
        <v>5895</v>
      </c>
      <c r="K3" s="10">
        <v>222560.0</v>
      </c>
      <c r="L3" s="16">
        <f t="shared" si="3"/>
        <v>5747</v>
      </c>
      <c r="M3" s="10"/>
      <c r="N3" s="15" t="str">
        <f t="shared" si="4"/>
        <v/>
      </c>
      <c r="O3" s="1"/>
      <c r="P3" s="15" t="str">
        <f t="shared" si="5"/>
        <v/>
      </c>
      <c r="Q3" s="1"/>
      <c r="R3" s="17" t="str">
        <f t="shared" si="6"/>
        <v/>
      </c>
      <c r="S3" s="1"/>
      <c r="T3" s="17" t="str">
        <f t="shared" si="7"/>
        <v/>
      </c>
      <c r="U3" s="1"/>
      <c r="V3" s="1"/>
      <c r="W3" s="1"/>
      <c r="X3" s="1"/>
      <c r="Y3" s="1"/>
      <c r="Z3" s="1"/>
      <c r="AA3" s="1"/>
    </row>
    <row r="4" ht="15.75" customHeight="1">
      <c r="A4" s="1" t="s">
        <v>115</v>
      </c>
      <c r="B4" s="1" t="s">
        <v>48</v>
      </c>
      <c r="C4" s="10" t="s">
        <v>116</v>
      </c>
      <c r="D4" s="12" t="s">
        <v>117</v>
      </c>
      <c r="E4" s="1">
        <v>5000.0</v>
      </c>
      <c r="F4" s="1">
        <v>219803.0</v>
      </c>
      <c r="G4" s="1">
        <v>224420.0</v>
      </c>
      <c r="H4" s="15">
        <f t="shared" si="1"/>
        <v>4617</v>
      </c>
      <c r="I4" s="1">
        <v>230443.0</v>
      </c>
      <c r="J4" s="15">
        <f t="shared" si="2"/>
        <v>6023</v>
      </c>
      <c r="K4" s="10">
        <v>235100.0</v>
      </c>
      <c r="L4" s="16">
        <f t="shared" si="3"/>
        <v>4657</v>
      </c>
      <c r="M4" s="10"/>
      <c r="N4" s="15" t="str">
        <f t="shared" si="4"/>
        <v/>
      </c>
      <c r="O4" s="1"/>
      <c r="P4" s="15" t="str">
        <f t="shared" si="5"/>
        <v/>
      </c>
      <c r="Q4" s="1"/>
      <c r="R4" s="17" t="str">
        <f t="shared" si="6"/>
        <v/>
      </c>
      <c r="S4" s="1"/>
      <c r="T4" s="17" t="str">
        <f t="shared" si="7"/>
        <v/>
      </c>
      <c r="U4" s="1"/>
      <c r="V4" s="1"/>
      <c r="W4" s="1"/>
      <c r="X4" s="1"/>
      <c r="Y4" s="1"/>
      <c r="Z4" s="1"/>
      <c r="AA4" s="1"/>
    </row>
    <row r="5" ht="21.75" customHeight="1">
      <c r="A5" s="20" t="s">
        <v>124</v>
      </c>
      <c r="B5" s="20" t="s">
        <v>48</v>
      </c>
      <c r="C5" s="21" t="s">
        <v>127</v>
      </c>
      <c r="D5" s="12" t="s">
        <v>128</v>
      </c>
      <c r="E5" s="20">
        <v>5000.0</v>
      </c>
      <c r="F5" s="1">
        <v>124046.0</v>
      </c>
      <c r="G5" s="1">
        <v>125720.0</v>
      </c>
      <c r="H5" s="15">
        <f t="shared" si="1"/>
        <v>1674</v>
      </c>
      <c r="I5" s="1">
        <v>127617.0</v>
      </c>
      <c r="J5" s="15">
        <f t="shared" si="2"/>
        <v>1897</v>
      </c>
      <c r="K5" s="10">
        <v>127944.0</v>
      </c>
      <c r="L5" s="16">
        <f t="shared" si="3"/>
        <v>327</v>
      </c>
      <c r="M5" s="10"/>
      <c r="N5" s="15" t="str">
        <f t="shared" si="4"/>
        <v/>
      </c>
      <c r="O5" s="1"/>
      <c r="P5" s="15" t="str">
        <f t="shared" si="5"/>
        <v/>
      </c>
      <c r="Q5" s="1"/>
      <c r="R5" s="17" t="str">
        <f t="shared" si="6"/>
        <v/>
      </c>
      <c r="S5" s="1"/>
      <c r="T5" s="17" t="str">
        <f t="shared" si="7"/>
        <v/>
      </c>
      <c r="U5" s="1"/>
      <c r="V5" s="1"/>
      <c r="W5" s="1"/>
      <c r="X5" s="1"/>
      <c r="Y5" s="1"/>
      <c r="Z5" s="1"/>
      <c r="AA5" s="1"/>
    </row>
    <row r="6" ht="21.75" customHeight="1">
      <c r="A6" s="20" t="s">
        <v>124</v>
      </c>
      <c r="B6" s="20" t="s">
        <v>134</v>
      </c>
      <c r="C6" s="21" t="s">
        <v>127</v>
      </c>
      <c r="D6" s="12" t="s">
        <v>135</v>
      </c>
      <c r="E6" s="20"/>
      <c r="F6" s="1">
        <v>137444.0</v>
      </c>
      <c r="G6" s="1">
        <v>138001.0</v>
      </c>
      <c r="H6" s="15">
        <f t="shared" si="1"/>
        <v>557</v>
      </c>
      <c r="I6" s="1">
        <v>138202.0</v>
      </c>
      <c r="J6" s="15">
        <f t="shared" si="2"/>
        <v>201</v>
      </c>
      <c r="K6" s="10">
        <v>151648.0</v>
      </c>
      <c r="L6" s="16">
        <f t="shared" si="3"/>
        <v>13446</v>
      </c>
      <c r="M6" s="10"/>
      <c r="N6" s="15" t="str">
        <f t="shared" si="4"/>
        <v/>
      </c>
      <c r="O6" s="1"/>
      <c r="P6" s="15" t="str">
        <f t="shared" si="5"/>
        <v/>
      </c>
      <c r="Q6" s="1"/>
      <c r="R6" s="17" t="str">
        <f t="shared" si="6"/>
        <v/>
      </c>
      <c r="S6" s="1"/>
      <c r="T6" s="17" t="str">
        <f t="shared" si="7"/>
        <v/>
      </c>
      <c r="U6" s="1"/>
      <c r="V6" s="1"/>
      <c r="W6" s="1"/>
      <c r="X6" s="1"/>
      <c r="Y6" s="1"/>
      <c r="Z6" s="1"/>
      <c r="AA6" s="1"/>
    </row>
    <row r="7" ht="32.25" customHeight="1">
      <c r="A7" s="22" t="s">
        <v>124</v>
      </c>
      <c r="B7" s="22" t="s">
        <v>48</v>
      </c>
      <c r="C7" s="23" t="s">
        <v>142</v>
      </c>
      <c r="D7" s="12" t="s">
        <v>143</v>
      </c>
      <c r="E7" s="22">
        <v>5000.0</v>
      </c>
      <c r="F7" s="1">
        <v>606081.0</v>
      </c>
      <c r="G7" s="1">
        <v>611461.0</v>
      </c>
      <c r="H7" s="15">
        <f t="shared" si="1"/>
        <v>5380</v>
      </c>
      <c r="I7" s="1">
        <v>623044.0</v>
      </c>
      <c r="J7" s="15">
        <f t="shared" si="2"/>
        <v>11583</v>
      </c>
      <c r="K7" s="10">
        <v>630339.0</v>
      </c>
      <c r="L7" s="16">
        <f t="shared" si="3"/>
        <v>7295</v>
      </c>
      <c r="M7" s="10"/>
      <c r="N7" s="15" t="str">
        <f t="shared" si="4"/>
        <v/>
      </c>
      <c r="O7" s="1"/>
      <c r="P7" s="15" t="str">
        <f t="shared" si="5"/>
        <v/>
      </c>
      <c r="Q7" s="1"/>
      <c r="R7" s="17" t="str">
        <f t="shared" si="6"/>
        <v/>
      </c>
      <c r="S7" s="1"/>
      <c r="T7" s="17" t="str">
        <f t="shared" si="7"/>
        <v/>
      </c>
      <c r="U7" s="1"/>
      <c r="V7" s="1"/>
      <c r="W7" s="1"/>
      <c r="X7" s="1"/>
      <c r="Y7" s="1"/>
      <c r="Z7" s="1"/>
      <c r="AA7" s="1"/>
    </row>
    <row r="8" ht="32.25" customHeight="1">
      <c r="A8" s="22" t="s">
        <v>124</v>
      </c>
      <c r="B8" s="22" t="s">
        <v>134</v>
      </c>
      <c r="C8" s="23" t="s">
        <v>142</v>
      </c>
      <c r="D8" s="12" t="s">
        <v>148</v>
      </c>
      <c r="E8" s="22"/>
      <c r="F8" s="1">
        <v>56862.0</v>
      </c>
      <c r="G8" s="1">
        <v>57340.0</v>
      </c>
      <c r="H8" s="15">
        <f t="shared" si="1"/>
        <v>478</v>
      </c>
      <c r="I8" s="1">
        <v>61760.0</v>
      </c>
      <c r="J8" s="15">
        <f t="shared" si="2"/>
        <v>4420</v>
      </c>
      <c r="K8" s="10">
        <v>63962.0</v>
      </c>
      <c r="L8" s="16">
        <f t="shared" si="3"/>
        <v>2202</v>
      </c>
      <c r="M8" s="10"/>
      <c r="N8" s="15" t="str">
        <f t="shared" si="4"/>
        <v/>
      </c>
      <c r="O8" s="1"/>
      <c r="P8" s="15" t="str">
        <f t="shared" si="5"/>
        <v/>
      </c>
      <c r="Q8" s="1"/>
      <c r="R8" s="17" t="str">
        <f t="shared" si="6"/>
        <v/>
      </c>
      <c r="S8" s="1"/>
      <c r="T8" s="17" t="str">
        <f t="shared" si="7"/>
        <v/>
      </c>
      <c r="U8" s="1"/>
      <c r="V8" s="1"/>
      <c r="W8" s="1"/>
      <c r="X8" s="1"/>
      <c r="Y8" s="1"/>
      <c r="Z8" s="1"/>
      <c r="AA8" s="1"/>
    </row>
    <row r="9" ht="15.75" customHeight="1">
      <c r="A9" s="26" t="s">
        <v>152</v>
      </c>
      <c r="B9" s="26" t="s">
        <v>48</v>
      </c>
      <c r="C9" s="27" t="s">
        <v>155</v>
      </c>
      <c r="D9" s="12" t="s">
        <v>28</v>
      </c>
      <c r="E9" s="26">
        <v>5000.0</v>
      </c>
      <c r="F9" s="1">
        <v>203700.0</v>
      </c>
      <c r="G9" s="1">
        <v>203808.0</v>
      </c>
      <c r="H9" s="15">
        <f t="shared" si="1"/>
        <v>108</v>
      </c>
      <c r="I9" s="1">
        <v>205215.0</v>
      </c>
      <c r="J9" s="15">
        <f t="shared" si="2"/>
        <v>1407</v>
      </c>
      <c r="K9" s="10">
        <v>205389.0</v>
      </c>
      <c r="L9" s="16">
        <f t="shared" si="3"/>
        <v>174</v>
      </c>
      <c r="M9" s="10"/>
      <c r="N9" s="15" t="str">
        <f t="shared" si="4"/>
        <v/>
      </c>
      <c r="O9" s="1"/>
      <c r="P9" s="15" t="str">
        <f t="shared" si="5"/>
        <v/>
      </c>
      <c r="Q9" s="1"/>
      <c r="R9" s="17" t="str">
        <f t="shared" si="6"/>
        <v/>
      </c>
      <c r="S9" s="1"/>
      <c r="T9" s="17" t="str">
        <f t="shared" si="7"/>
        <v/>
      </c>
      <c r="U9" s="1"/>
      <c r="V9" s="1"/>
      <c r="W9" s="1"/>
      <c r="X9" s="1"/>
      <c r="Y9" s="1"/>
      <c r="Z9" s="1"/>
      <c r="AA9" s="1"/>
    </row>
    <row r="10" ht="15.75" customHeight="1">
      <c r="A10" s="26" t="s">
        <v>152</v>
      </c>
      <c r="B10" s="26" t="s">
        <v>134</v>
      </c>
      <c r="C10" s="27" t="s">
        <v>155</v>
      </c>
      <c r="D10" s="12" t="s">
        <v>158</v>
      </c>
      <c r="E10" s="26"/>
      <c r="F10" s="28">
        <v>346292.0</v>
      </c>
      <c r="G10" s="28">
        <v>346494.0</v>
      </c>
      <c r="H10" s="15">
        <f t="shared" si="1"/>
        <v>202</v>
      </c>
      <c r="I10" s="1">
        <v>348411.0</v>
      </c>
      <c r="J10" s="15">
        <f t="shared" si="2"/>
        <v>1917</v>
      </c>
      <c r="K10" s="10">
        <v>356482.0</v>
      </c>
      <c r="L10" s="16">
        <f t="shared" si="3"/>
        <v>8071</v>
      </c>
      <c r="M10" s="10"/>
      <c r="N10" s="15" t="str">
        <f t="shared" si="4"/>
        <v/>
      </c>
      <c r="O10" s="1"/>
      <c r="P10" s="15" t="str">
        <f t="shared" si="5"/>
        <v/>
      </c>
      <c r="Q10" s="1"/>
      <c r="R10" s="17" t="str">
        <f t="shared" si="6"/>
        <v/>
      </c>
      <c r="S10" s="1"/>
      <c r="T10" s="17" t="str">
        <f t="shared" si="7"/>
        <v/>
      </c>
      <c r="U10" s="1"/>
      <c r="V10" s="1"/>
      <c r="W10" s="1"/>
      <c r="X10" s="1"/>
      <c r="Y10" s="1"/>
      <c r="Z10" s="1"/>
      <c r="AA10" s="1"/>
    </row>
    <row r="11" ht="15.75" customHeight="1">
      <c r="A11" s="1"/>
      <c r="B11" s="1"/>
      <c r="C11" s="10"/>
      <c r="D11" s="18"/>
      <c r="E11" s="1"/>
      <c r="F11" s="1"/>
      <c r="G11" s="1"/>
      <c r="H11" s="1"/>
      <c r="I11" s="1"/>
      <c r="J11" s="1"/>
      <c r="K11" s="10"/>
      <c r="L11" s="10"/>
      <c r="M11" s="1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1"/>
      <c r="C12" s="10"/>
      <c r="D12" s="18"/>
      <c r="E12" s="1"/>
      <c r="F12" s="1"/>
      <c r="G12" s="1"/>
      <c r="H12" s="1"/>
      <c r="I12" s="1"/>
      <c r="J12" s="1"/>
      <c r="K12" s="10"/>
      <c r="L12" s="10"/>
      <c r="M12" s="1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1"/>
      <c r="C13" s="10"/>
      <c r="D13" s="18"/>
      <c r="E13" s="1"/>
      <c r="F13" s="1"/>
      <c r="G13" s="1"/>
      <c r="H13" s="1"/>
      <c r="I13" s="1"/>
      <c r="J13" s="1"/>
      <c r="K13" s="10"/>
      <c r="L13" s="10"/>
      <c r="M13" s="1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1"/>
      <c r="C14" s="10"/>
      <c r="D14" s="18"/>
      <c r="E14" s="1"/>
      <c r="F14" s="1"/>
      <c r="G14" s="1"/>
      <c r="H14" s="1"/>
      <c r="I14" s="1"/>
      <c r="J14" s="1"/>
      <c r="K14" s="10"/>
      <c r="L14" s="10"/>
      <c r="M14" s="1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1"/>
      <c r="C15" s="10"/>
      <c r="D15" s="18"/>
      <c r="E15" s="1"/>
      <c r="F15" s="1"/>
      <c r="G15" s="1"/>
      <c r="H15" s="1"/>
      <c r="I15" s="1"/>
      <c r="J15" s="1"/>
      <c r="K15" s="10"/>
      <c r="L15" s="10"/>
      <c r="M15" s="1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1"/>
      <c r="C16" s="10"/>
      <c r="D16" s="18"/>
      <c r="E16" s="1"/>
      <c r="F16" s="1"/>
      <c r="G16" s="1"/>
      <c r="H16" s="1"/>
      <c r="I16" s="1"/>
      <c r="J16" s="1"/>
      <c r="K16" s="10"/>
      <c r="L16" s="10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"/>
      <c r="C17" s="10"/>
      <c r="D17" s="18"/>
      <c r="E17" s="1"/>
      <c r="F17" s="1"/>
      <c r="G17" s="1"/>
      <c r="H17" s="1"/>
      <c r="I17" s="1"/>
      <c r="J17" s="1"/>
      <c r="K17" s="10"/>
      <c r="L17" s="10"/>
      <c r="M17" s="1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"/>
      <c r="C18" s="10"/>
      <c r="D18" s="18"/>
      <c r="E18" s="1"/>
      <c r="F18" s="1"/>
      <c r="G18" s="1"/>
      <c r="H18" s="1"/>
      <c r="I18" s="1"/>
      <c r="J18" s="1"/>
      <c r="K18" s="10"/>
      <c r="L18" s="10"/>
      <c r="M18" s="1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"/>
      <c r="C19" s="10"/>
      <c r="D19" s="18"/>
      <c r="E19" s="1"/>
      <c r="F19" s="1"/>
      <c r="G19" s="1"/>
      <c r="H19" s="1"/>
      <c r="I19" s="1"/>
      <c r="J19" s="1"/>
      <c r="K19" s="10"/>
      <c r="L19" s="10"/>
      <c r="M19" s="1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"/>
      <c r="C20" s="10"/>
      <c r="D20" s="18"/>
      <c r="E20" s="1"/>
      <c r="F20" s="1"/>
      <c r="G20" s="1"/>
      <c r="H20" s="1"/>
      <c r="I20" s="1"/>
      <c r="J20" s="1"/>
      <c r="K20" s="10"/>
      <c r="L20" s="10"/>
      <c r="M20" s="1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0"/>
      <c r="D21" s="18"/>
      <c r="E21" s="1"/>
      <c r="F21" s="1"/>
      <c r="G21" s="1"/>
      <c r="H21" s="1"/>
      <c r="I21" s="1"/>
      <c r="J21" s="1"/>
      <c r="K21" s="10"/>
      <c r="L21" s="10"/>
      <c r="M21" s="1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0"/>
      <c r="D22" s="18"/>
      <c r="E22" s="1"/>
      <c r="F22" s="1"/>
      <c r="G22" s="1"/>
      <c r="H22" s="1"/>
      <c r="I22" s="1"/>
      <c r="J22" s="1"/>
      <c r="K22" s="10"/>
      <c r="L22" s="10"/>
      <c r="M22" s="1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0"/>
      <c r="D23" s="18"/>
      <c r="E23" s="1"/>
      <c r="F23" s="1"/>
      <c r="G23" s="1"/>
      <c r="H23" s="1"/>
      <c r="I23" s="1"/>
      <c r="J23" s="1"/>
      <c r="K23" s="10"/>
      <c r="L23" s="10"/>
      <c r="M23" s="1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0"/>
      <c r="D24" s="18"/>
      <c r="E24" s="1"/>
      <c r="F24" s="1"/>
      <c r="G24" s="1"/>
      <c r="H24" s="1"/>
      <c r="I24" s="1"/>
      <c r="J24" s="1"/>
      <c r="K24" s="10"/>
      <c r="L24" s="10"/>
      <c r="M24" s="1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0"/>
      <c r="D25" s="18"/>
      <c r="E25" s="1"/>
      <c r="F25" s="1"/>
      <c r="G25" s="1"/>
      <c r="H25" s="1"/>
      <c r="I25" s="1"/>
      <c r="J25" s="1"/>
      <c r="K25" s="10"/>
      <c r="L25" s="10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0"/>
      <c r="D26" s="18"/>
      <c r="E26" s="1"/>
      <c r="F26" s="1"/>
      <c r="G26" s="1"/>
      <c r="H26" s="1"/>
      <c r="I26" s="1"/>
      <c r="J26" s="1"/>
      <c r="K26" s="10"/>
      <c r="L26" s="10"/>
      <c r="M26" s="1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0"/>
      <c r="D27" s="18"/>
      <c r="E27" s="1"/>
      <c r="F27" s="1"/>
      <c r="G27" s="1"/>
      <c r="H27" s="1"/>
      <c r="I27" s="1"/>
      <c r="J27" s="1"/>
      <c r="K27" s="10"/>
      <c r="L27" s="10"/>
      <c r="M27" s="1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0"/>
      <c r="D28" s="18"/>
      <c r="E28" s="1"/>
      <c r="F28" s="1"/>
      <c r="G28" s="1"/>
      <c r="H28" s="1"/>
      <c r="I28" s="1"/>
      <c r="J28" s="1"/>
      <c r="K28" s="10"/>
      <c r="L28" s="10"/>
      <c r="M28" s="1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0"/>
      <c r="D29" s="18"/>
      <c r="E29" s="1"/>
      <c r="F29" s="1"/>
      <c r="G29" s="1"/>
      <c r="H29" s="1"/>
      <c r="I29" s="1"/>
      <c r="J29" s="1"/>
      <c r="K29" s="10"/>
      <c r="L29" s="10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0"/>
      <c r="D30" s="18"/>
      <c r="E30" s="1"/>
      <c r="F30" s="1"/>
      <c r="G30" s="1"/>
      <c r="H30" s="1"/>
      <c r="I30" s="1"/>
      <c r="J30" s="1"/>
      <c r="K30" s="10"/>
      <c r="L30" s="10"/>
      <c r="M30" s="1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0"/>
      <c r="D31" s="18"/>
      <c r="E31" s="1"/>
      <c r="F31" s="1"/>
      <c r="G31" s="1"/>
      <c r="H31" s="1"/>
      <c r="I31" s="1"/>
      <c r="J31" s="1"/>
      <c r="K31" s="10"/>
      <c r="L31" s="10"/>
      <c r="M31" s="1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0"/>
      <c r="D32" s="18"/>
      <c r="E32" s="1"/>
      <c r="F32" s="1"/>
      <c r="G32" s="1"/>
      <c r="H32" s="1"/>
      <c r="I32" s="1"/>
      <c r="J32" s="1"/>
      <c r="K32" s="10"/>
      <c r="L32" s="10"/>
      <c r="M32" s="1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0"/>
      <c r="D33" s="18"/>
      <c r="E33" s="1"/>
      <c r="F33" s="1"/>
      <c r="G33" s="1"/>
      <c r="H33" s="1"/>
      <c r="I33" s="1"/>
      <c r="J33" s="1"/>
      <c r="K33" s="10"/>
      <c r="L33" s="10"/>
      <c r="M33" s="1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0"/>
      <c r="D34" s="18"/>
      <c r="E34" s="1"/>
      <c r="F34" s="1"/>
      <c r="G34" s="1"/>
      <c r="H34" s="1"/>
      <c r="I34" s="1"/>
      <c r="J34" s="1"/>
      <c r="K34" s="10"/>
      <c r="L34" s="10"/>
      <c r="M34" s="1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0"/>
      <c r="D35" s="18"/>
      <c r="E35" s="1"/>
      <c r="F35" s="1"/>
      <c r="G35" s="1"/>
      <c r="H35" s="1"/>
      <c r="I35" s="1"/>
      <c r="J35" s="1"/>
      <c r="K35" s="10"/>
      <c r="L35" s="10"/>
      <c r="M35" s="1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0"/>
      <c r="D36" s="18"/>
      <c r="E36" s="1"/>
      <c r="F36" s="1"/>
      <c r="G36" s="1"/>
      <c r="H36" s="1"/>
      <c r="I36" s="1"/>
      <c r="J36" s="1"/>
      <c r="K36" s="10"/>
      <c r="L36" s="10"/>
      <c r="M36" s="1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0"/>
      <c r="D37" s="18"/>
      <c r="E37" s="1"/>
      <c r="F37" s="1"/>
      <c r="G37" s="1"/>
      <c r="H37" s="1"/>
      <c r="I37" s="1"/>
      <c r="J37" s="1"/>
      <c r="K37" s="10"/>
      <c r="L37" s="10"/>
      <c r="M37" s="1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0"/>
      <c r="D38" s="18"/>
      <c r="E38" s="1"/>
      <c r="F38" s="1"/>
      <c r="G38" s="1"/>
      <c r="H38" s="1"/>
      <c r="I38" s="1"/>
      <c r="J38" s="1"/>
      <c r="K38" s="10"/>
      <c r="L38" s="10"/>
      <c r="M38" s="1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0"/>
      <c r="D39" s="18"/>
      <c r="E39" s="1"/>
      <c r="F39" s="1"/>
      <c r="G39" s="1"/>
      <c r="H39" s="1"/>
      <c r="I39" s="1"/>
      <c r="J39" s="1"/>
      <c r="K39" s="10"/>
      <c r="L39" s="10"/>
      <c r="M39" s="1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0"/>
      <c r="D40" s="18"/>
      <c r="E40" s="1"/>
      <c r="F40" s="1"/>
      <c r="G40" s="1"/>
      <c r="H40" s="1"/>
      <c r="I40" s="1"/>
      <c r="J40" s="1"/>
      <c r="K40" s="10"/>
      <c r="L40" s="10"/>
      <c r="M40" s="1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0"/>
      <c r="D41" s="18"/>
      <c r="E41" s="1"/>
      <c r="F41" s="1"/>
      <c r="G41" s="1"/>
      <c r="H41" s="1"/>
      <c r="I41" s="1"/>
      <c r="J41" s="1"/>
      <c r="K41" s="10"/>
      <c r="L41" s="10"/>
      <c r="M41" s="1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0"/>
      <c r="D42" s="18"/>
      <c r="E42" s="1"/>
      <c r="F42" s="1"/>
      <c r="G42" s="1"/>
      <c r="H42" s="1"/>
      <c r="I42" s="1"/>
      <c r="J42" s="1"/>
      <c r="K42" s="10"/>
      <c r="L42" s="10"/>
      <c r="M42" s="1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0"/>
      <c r="D43" s="18"/>
      <c r="E43" s="1"/>
      <c r="F43" s="1"/>
      <c r="G43" s="1"/>
      <c r="H43" s="1"/>
      <c r="I43" s="1"/>
      <c r="J43" s="1"/>
      <c r="K43" s="10"/>
      <c r="L43" s="10"/>
      <c r="M43" s="1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0"/>
      <c r="D44" s="18"/>
      <c r="E44" s="1"/>
      <c r="F44" s="1"/>
      <c r="G44" s="1"/>
      <c r="H44" s="1"/>
      <c r="I44" s="1"/>
      <c r="J44" s="1"/>
      <c r="K44" s="10"/>
      <c r="L44" s="10"/>
      <c r="M44" s="1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0"/>
      <c r="D45" s="18"/>
      <c r="E45" s="1"/>
      <c r="F45" s="1"/>
      <c r="G45" s="1"/>
      <c r="H45" s="1"/>
      <c r="I45" s="1"/>
      <c r="J45" s="1"/>
      <c r="K45" s="10"/>
      <c r="L45" s="10"/>
      <c r="M45" s="1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0"/>
      <c r="D46" s="18"/>
      <c r="E46" s="1"/>
      <c r="F46" s="1"/>
      <c r="G46" s="1"/>
      <c r="H46" s="1"/>
      <c r="I46" s="1"/>
      <c r="J46" s="1"/>
      <c r="K46" s="10"/>
      <c r="L46" s="10"/>
      <c r="M46" s="1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0"/>
      <c r="D47" s="18"/>
      <c r="E47" s="1"/>
      <c r="F47" s="1"/>
      <c r="G47" s="1"/>
      <c r="H47" s="1"/>
      <c r="I47" s="1"/>
      <c r="J47" s="1"/>
      <c r="K47" s="10"/>
      <c r="L47" s="10"/>
      <c r="M47" s="1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0"/>
      <c r="D48" s="18"/>
      <c r="E48" s="1"/>
      <c r="F48" s="1"/>
      <c r="G48" s="1"/>
      <c r="H48" s="1"/>
      <c r="I48" s="1"/>
      <c r="J48" s="1"/>
      <c r="K48" s="10"/>
      <c r="L48" s="10"/>
      <c r="M48" s="1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0"/>
      <c r="D49" s="18"/>
      <c r="E49" s="1"/>
      <c r="F49" s="1"/>
      <c r="G49" s="1"/>
      <c r="H49" s="1"/>
      <c r="I49" s="1"/>
      <c r="J49" s="1"/>
      <c r="K49" s="10"/>
      <c r="L49" s="10"/>
      <c r="M49" s="1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0"/>
      <c r="D50" s="18"/>
      <c r="E50" s="1"/>
      <c r="F50" s="1"/>
      <c r="G50" s="1"/>
      <c r="H50" s="1"/>
      <c r="I50" s="1"/>
      <c r="J50" s="1"/>
      <c r="K50" s="10"/>
      <c r="L50" s="10"/>
      <c r="M50" s="1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0"/>
      <c r="D51" s="18"/>
      <c r="E51" s="1"/>
      <c r="F51" s="1"/>
      <c r="G51" s="1"/>
      <c r="H51" s="1"/>
      <c r="I51" s="1"/>
      <c r="J51" s="1"/>
      <c r="K51" s="10"/>
      <c r="L51" s="10"/>
      <c r="M51" s="10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0"/>
      <c r="D52" s="18"/>
      <c r="E52" s="1"/>
      <c r="F52" s="1"/>
      <c r="G52" s="1"/>
      <c r="H52" s="1"/>
      <c r="I52" s="1"/>
      <c r="J52" s="1"/>
      <c r="K52" s="10"/>
      <c r="L52" s="10"/>
      <c r="M52" s="1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0"/>
      <c r="D53" s="18"/>
      <c r="E53" s="1"/>
      <c r="F53" s="1"/>
      <c r="G53" s="1"/>
      <c r="H53" s="1"/>
      <c r="I53" s="1"/>
      <c r="J53" s="1"/>
      <c r="K53" s="10"/>
      <c r="L53" s="10"/>
      <c r="M53" s="1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0"/>
      <c r="D54" s="18"/>
      <c r="E54" s="1"/>
      <c r="F54" s="1"/>
      <c r="G54" s="1"/>
      <c r="H54" s="1"/>
      <c r="I54" s="1"/>
      <c r="J54" s="1"/>
      <c r="K54" s="10"/>
      <c r="L54" s="10"/>
      <c r="M54" s="1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0"/>
      <c r="D55" s="18"/>
      <c r="E55" s="1"/>
      <c r="F55" s="1"/>
      <c r="G55" s="1"/>
      <c r="H55" s="1"/>
      <c r="I55" s="1"/>
      <c r="J55" s="1"/>
      <c r="K55" s="10"/>
      <c r="L55" s="10"/>
      <c r="M55" s="10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0"/>
      <c r="D56" s="18"/>
      <c r="E56" s="1"/>
      <c r="F56" s="1"/>
      <c r="G56" s="1"/>
      <c r="H56" s="1"/>
      <c r="I56" s="1"/>
      <c r="J56" s="1"/>
      <c r="K56" s="10"/>
      <c r="L56" s="10"/>
      <c r="M56" s="10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0"/>
      <c r="D57" s="18"/>
      <c r="E57" s="1"/>
      <c r="F57" s="1"/>
      <c r="G57" s="1"/>
      <c r="H57" s="1"/>
      <c r="I57" s="1"/>
      <c r="J57" s="1"/>
      <c r="K57" s="10"/>
      <c r="L57" s="10"/>
      <c r="M57" s="10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0"/>
      <c r="D58" s="18"/>
      <c r="E58" s="1"/>
      <c r="F58" s="1"/>
      <c r="G58" s="1"/>
      <c r="H58" s="1"/>
      <c r="I58" s="1"/>
      <c r="J58" s="1"/>
      <c r="K58" s="10"/>
      <c r="L58" s="10"/>
      <c r="M58" s="1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0"/>
      <c r="D59" s="18"/>
      <c r="E59" s="1"/>
      <c r="F59" s="1"/>
      <c r="G59" s="1"/>
      <c r="H59" s="1"/>
      <c r="I59" s="1"/>
      <c r="J59" s="1"/>
      <c r="K59" s="10"/>
      <c r="L59" s="10"/>
      <c r="M59" s="10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0"/>
      <c r="D60" s="18"/>
      <c r="E60" s="1"/>
      <c r="F60" s="1"/>
      <c r="G60" s="1"/>
      <c r="H60" s="1"/>
      <c r="I60" s="1"/>
      <c r="J60" s="1"/>
      <c r="K60" s="10"/>
      <c r="L60" s="10"/>
      <c r="M60" s="1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0"/>
      <c r="D61" s="18"/>
      <c r="E61" s="1"/>
      <c r="F61" s="1"/>
      <c r="G61" s="1"/>
      <c r="H61" s="1"/>
      <c r="I61" s="1"/>
      <c r="J61" s="1"/>
      <c r="K61" s="10"/>
      <c r="L61" s="10"/>
      <c r="M61" s="1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0"/>
      <c r="D62" s="18"/>
      <c r="E62" s="1"/>
      <c r="F62" s="1"/>
      <c r="G62" s="1"/>
      <c r="H62" s="1"/>
      <c r="I62" s="1"/>
      <c r="J62" s="1"/>
      <c r="K62" s="10"/>
      <c r="L62" s="10"/>
      <c r="M62" s="1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0"/>
      <c r="D63" s="18"/>
      <c r="E63" s="1"/>
      <c r="F63" s="1"/>
      <c r="G63" s="1"/>
      <c r="H63" s="1"/>
      <c r="I63" s="1"/>
      <c r="J63" s="1"/>
      <c r="K63" s="10"/>
      <c r="L63" s="10"/>
      <c r="M63" s="1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0"/>
      <c r="D64" s="18"/>
      <c r="E64" s="1"/>
      <c r="F64" s="1"/>
      <c r="G64" s="1"/>
      <c r="H64" s="1"/>
      <c r="I64" s="1"/>
      <c r="J64" s="1"/>
      <c r="K64" s="10"/>
      <c r="L64" s="10"/>
      <c r="M64" s="1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0"/>
      <c r="D65" s="18"/>
      <c r="E65" s="1"/>
      <c r="F65" s="1"/>
      <c r="G65" s="1"/>
      <c r="H65" s="1"/>
      <c r="I65" s="1"/>
      <c r="J65" s="1"/>
      <c r="K65" s="10"/>
      <c r="L65" s="10"/>
      <c r="M65" s="1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0"/>
      <c r="D66" s="18"/>
      <c r="E66" s="1"/>
      <c r="F66" s="1"/>
      <c r="G66" s="1"/>
      <c r="H66" s="1"/>
      <c r="I66" s="1"/>
      <c r="J66" s="1"/>
      <c r="K66" s="10"/>
      <c r="L66" s="10"/>
      <c r="M66" s="1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0"/>
      <c r="D67" s="18"/>
      <c r="E67" s="1"/>
      <c r="F67" s="1"/>
      <c r="G67" s="1"/>
      <c r="H67" s="1"/>
      <c r="I67" s="1"/>
      <c r="J67" s="1"/>
      <c r="K67" s="10"/>
      <c r="L67" s="10"/>
      <c r="M67" s="10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0"/>
      <c r="D68" s="18"/>
      <c r="E68" s="1"/>
      <c r="F68" s="1"/>
      <c r="G68" s="1"/>
      <c r="H68" s="1"/>
      <c r="I68" s="1"/>
      <c r="J68" s="1"/>
      <c r="K68" s="10"/>
      <c r="L68" s="10"/>
      <c r="M68" s="1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0"/>
      <c r="D69" s="18"/>
      <c r="E69" s="1"/>
      <c r="F69" s="1"/>
      <c r="G69" s="1"/>
      <c r="H69" s="1"/>
      <c r="I69" s="1"/>
      <c r="J69" s="1"/>
      <c r="K69" s="10"/>
      <c r="L69" s="10"/>
      <c r="M69" s="1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0"/>
      <c r="D70" s="18"/>
      <c r="E70" s="1"/>
      <c r="F70" s="1"/>
      <c r="G70" s="1"/>
      <c r="H70" s="1"/>
      <c r="I70" s="1"/>
      <c r="J70" s="1"/>
      <c r="K70" s="10"/>
      <c r="L70" s="10"/>
      <c r="M70" s="1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0"/>
      <c r="D71" s="18"/>
      <c r="E71" s="1"/>
      <c r="F71" s="1"/>
      <c r="G71" s="1"/>
      <c r="H71" s="1"/>
      <c r="I71" s="1"/>
      <c r="J71" s="1"/>
      <c r="K71" s="10"/>
      <c r="L71" s="10"/>
      <c r="M71" s="1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0"/>
      <c r="D72" s="18"/>
      <c r="E72" s="1"/>
      <c r="F72" s="1"/>
      <c r="G72" s="1"/>
      <c r="H72" s="1"/>
      <c r="I72" s="1"/>
      <c r="J72" s="1"/>
      <c r="K72" s="10"/>
      <c r="L72" s="10"/>
      <c r="M72" s="1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0"/>
      <c r="D73" s="18"/>
      <c r="E73" s="1"/>
      <c r="F73" s="1"/>
      <c r="G73" s="1"/>
      <c r="H73" s="1"/>
      <c r="I73" s="1"/>
      <c r="J73" s="1"/>
      <c r="K73" s="10"/>
      <c r="L73" s="10"/>
      <c r="M73" s="1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0"/>
      <c r="D74" s="18"/>
      <c r="E74" s="1"/>
      <c r="F74" s="1"/>
      <c r="G74" s="1"/>
      <c r="H74" s="1"/>
      <c r="I74" s="1"/>
      <c r="J74" s="1"/>
      <c r="K74" s="10"/>
      <c r="L74" s="10"/>
      <c r="M74" s="1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0"/>
      <c r="D75" s="18"/>
      <c r="E75" s="1"/>
      <c r="F75" s="1"/>
      <c r="G75" s="1"/>
      <c r="H75" s="1"/>
      <c r="I75" s="1"/>
      <c r="J75" s="1"/>
      <c r="K75" s="10"/>
      <c r="L75" s="10"/>
      <c r="M75" s="1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0"/>
      <c r="D76" s="18"/>
      <c r="E76" s="1"/>
      <c r="F76" s="1"/>
      <c r="G76" s="1"/>
      <c r="H76" s="1"/>
      <c r="I76" s="1"/>
      <c r="J76" s="1"/>
      <c r="K76" s="10"/>
      <c r="L76" s="10"/>
      <c r="M76" s="10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0"/>
      <c r="D77" s="18"/>
      <c r="E77" s="1"/>
      <c r="F77" s="1"/>
      <c r="G77" s="1"/>
      <c r="H77" s="1"/>
      <c r="I77" s="1"/>
      <c r="J77" s="1"/>
      <c r="K77" s="10"/>
      <c r="L77" s="10"/>
      <c r="M77" s="1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0"/>
      <c r="D78" s="18"/>
      <c r="E78" s="1"/>
      <c r="F78" s="1"/>
      <c r="G78" s="1"/>
      <c r="H78" s="1"/>
      <c r="I78" s="1"/>
      <c r="J78" s="1"/>
      <c r="K78" s="10"/>
      <c r="L78" s="10"/>
      <c r="M78" s="1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0"/>
      <c r="D79" s="18"/>
      <c r="E79" s="1"/>
      <c r="F79" s="1"/>
      <c r="G79" s="1"/>
      <c r="H79" s="1"/>
      <c r="I79" s="1"/>
      <c r="J79" s="1"/>
      <c r="K79" s="10"/>
      <c r="L79" s="10"/>
      <c r="M79" s="1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0"/>
      <c r="D80" s="18"/>
      <c r="E80" s="1"/>
      <c r="F80" s="1"/>
      <c r="G80" s="1"/>
      <c r="H80" s="1"/>
      <c r="I80" s="1"/>
      <c r="J80" s="1"/>
      <c r="K80" s="10"/>
      <c r="L80" s="10"/>
      <c r="M80" s="1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0"/>
      <c r="D81" s="18"/>
      <c r="E81" s="1"/>
      <c r="F81" s="1"/>
      <c r="G81" s="1"/>
      <c r="H81" s="1"/>
      <c r="I81" s="1"/>
      <c r="J81" s="1"/>
      <c r="K81" s="10"/>
      <c r="L81" s="10"/>
      <c r="M81" s="1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0"/>
      <c r="D82" s="18"/>
      <c r="E82" s="1"/>
      <c r="F82" s="1"/>
      <c r="G82" s="1"/>
      <c r="H82" s="1"/>
      <c r="I82" s="1"/>
      <c r="J82" s="1"/>
      <c r="K82" s="10"/>
      <c r="L82" s="10"/>
      <c r="M82" s="1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0"/>
      <c r="D83" s="18"/>
      <c r="E83" s="1"/>
      <c r="F83" s="1"/>
      <c r="G83" s="1"/>
      <c r="H83" s="1"/>
      <c r="I83" s="1"/>
      <c r="J83" s="1"/>
      <c r="K83" s="10"/>
      <c r="L83" s="10"/>
      <c r="M83" s="1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0"/>
      <c r="D84" s="18"/>
      <c r="E84" s="1"/>
      <c r="F84" s="1"/>
      <c r="G84" s="1"/>
      <c r="H84" s="1"/>
      <c r="I84" s="1"/>
      <c r="J84" s="1"/>
      <c r="K84" s="10"/>
      <c r="L84" s="10"/>
      <c r="M84" s="1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0"/>
      <c r="D85" s="18"/>
      <c r="E85" s="1"/>
      <c r="F85" s="1"/>
      <c r="G85" s="1"/>
      <c r="H85" s="1"/>
      <c r="I85" s="1"/>
      <c r="J85" s="1"/>
      <c r="K85" s="10"/>
      <c r="L85" s="10"/>
      <c r="M85" s="1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0"/>
      <c r="D86" s="18"/>
      <c r="E86" s="1"/>
      <c r="F86" s="1"/>
      <c r="G86" s="1"/>
      <c r="H86" s="1"/>
      <c r="I86" s="1"/>
      <c r="J86" s="1"/>
      <c r="K86" s="10"/>
      <c r="L86" s="10"/>
      <c r="M86" s="1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0"/>
      <c r="D87" s="18"/>
      <c r="E87" s="1"/>
      <c r="F87" s="1"/>
      <c r="G87" s="1"/>
      <c r="H87" s="1"/>
      <c r="I87" s="1"/>
      <c r="J87" s="1"/>
      <c r="K87" s="10"/>
      <c r="L87" s="10"/>
      <c r="M87" s="1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0"/>
      <c r="D88" s="18"/>
      <c r="E88" s="1"/>
      <c r="F88" s="1"/>
      <c r="G88" s="1"/>
      <c r="H88" s="1"/>
      <c r="I88" s="1"/>
      <c r="J88" s="1"/>
      <c r="K88" s="10"/>
      <c r="L88" s="10"/>
      <c r="M88" s="1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0"/>
      <c r="D89" s="18"/>
      <c r="E89" s="1"/>
      <c r="F89" s="1"/>
      <c r="G89" s="1"/>
      <c r="H89" s="1"/>
      <c r="I89" s="1"/>
      <c r="J89" s="1"/>
      <c r="K89" s="10"/>
      <c r="L89" s="10"/>
      <c r="M89" s="1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0"/>
      <c r="D90" s="18"/>
      <c r="E90" s="1"/>
      <c r="F90" s="1"/>
      <c r="G90" s="1"/>
      <c r="H90" s="1"/>
      <c r="I90" s="1"/>
      <c r="J90" s="1"/>
      <c r="K90" s="10"/>
      <c r="L90" s="10"/>
      <c r="M90" s="1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0"/>
      <c r="D91" s="18"/>
      <c r="E91" s="1"/>
      <c r="F91" s="1"/>
      <c r="G91" s="1"/>
      <c r="H91" s="1"/>
      <c r="I91" s="1"/>
      <c r="J91" s="1"/>
      <c r="K91" s="10"/>
      <c r="L91" s="10"/>
      <c r="M91" s="10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0"/>
      <c r="D92" s="18"/>
      <c r="E92" s="1"/>
      <c r="F92" s="1"/>
      <c r="G92" s="1"/>
      <c r="H92" s="1"/>
      <c r="I92" s="1"/>
      <c r="J92" s="1"/>
      <c r="K92" s="10"/>
      <c r="L92" s="10"/>
      <c r="M92" s="1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0"/>
      <c r="D93" s="18"/>
      <c r="E93" s="1"/>
      <c r="F93" s="1"/>
      <c r="G93" s="1"/>
      <c r="H93" s="1"/>
      <c r="I93" s="1"/>
      <c r="J93" s="1"/>
      <c r="K93" s="10"/>
      <c r="L93" s="10"/>
      <c r="M93" s="1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0"/>
      <c r="D94" s="18"/>
      <c r="E94" s="1"/>
      <c r="F94" s="1"/>
      <c r="G94" s="1"/>
      <c r="H94" s="1"/>
      <c r="I94" s="1"/>
      <c r="J94" s="1"/>
      <c r="K94" s="10"/>
      <c r="L94" s="10"/>
      <c r="M94" s="1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0"/>
      <c r="D95" s="18"/>
      <c r="E95" s="1"/>
      <c r="F95" s="1"/>
      <c r="G95" s="1"/>
      <c r="H95" s="1"/>
      <c r="I95" s="1"/>
      <c r="J95" s="1"/>
      <c r="K95" s="10"/>
      <c r="L95" s="10"/>
      <c r="M95" s="1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0"/>
      <c r="D96" s="18"/>
      <c r="E96" s="1"/>
      <c r="F96" s="1"/>
      <c r="G96" s="1"/>
      <c r="H96" s="1"/>
      <c r="I96" s="1"/>
      <c r="J96" s="1"/>
      <c r="K96" s="10"/>
      <c r="L96" s="10"/>
      <c r="M96" s="1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0"/>
      <c r="D97" s="18"/>
      <c r="E97" s="1"/>
      <c r="F97" s="1"/>
      <c r="G97" s="1"/>
      <c r="H97" s="1"/>
      <c r="I97" s="1"/>
      <c r="J97" s="1"/>
      <c r="K97" s="10"/>
      <c r="L97" s="10"/>
      <c r="M97" s="1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0"/>
      <c r="D98" s="18"/>
      <c r="E98" s="1"/>
      <c r="F98" s="1"/>
      <c r="G98" s="1"/>
      <c r="H98" s="1"/>
      <c r="I98" s="1"/>
      <c r="J98" s="1"/>
      <c r="K98" s="10"/>
      <c r="L98" s="10"/>
      <c r="M98" s="1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0"/>
      <c r="D99" s="18"/>
      <c r="E99" s="1"/>
      <c r="F99" s="1"/>
      <c r="G99" s="1"/>
      <c r="H99" s="1"/>
      <c r="I99" s="1"/>
      <c r="J99" s="1"/>
      <c r="K99" s="10"/>
      <c r="L99" s="10"/>
      <c r="M99" s="1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0"/>
      <c r="D100" s="18"/>
      <c r="E100" s="1"/>
      <c r="F100" s="1"/>
      <c r="G100" s="1"/>
      <c r="H100" s="1"/>
      <c r="I100" s="1"/>
      <c r="J100" s="1"/>
      <c r="K100" s="10"/>
      <c r="L100" s="10"/>
      <c r="M100" s="1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0"/>
      <c r="D101" s="18"/>
      <c r="E101" s="1"/>
      <c r="F101" s="1"/>
      <c r="G101" s="1"/>
      <c r="H101" s="1"/>
      <c r="I101" s="1"/>
      <c r="J101" s="1"/>
      <c r="K101" s="10"/>
      <c r="L101" s="10"/>
      <c r="M101" s="1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0"/>
      <c r="D102" s="18"/>
      <c r="E102" s="1"/>
      <c r="F102" s="1"/>
      <c r="G102" s="1"/>
      <c r="H102" s="1"/>
      <c r="I102" s="1"/>
      <c r="J102" s="1"/>
      <c r="K102" s="10"/>
      <c r="L102" s="10"/>
      <c r="M102" s="1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0"/>
      <c r="D103" s="18"/>
      <c r="E103" s="1"/>
      <c r="F103" s="1"/>
      <c r="G103" s="1"/>
      <c r="H103" s="1"/>
      <c r="I103" s="1"/>
      <c r="J103" s="1"/>
      <c r="K103" s="10"/>
      <c r="L103" s="10"/>
      <c r="M103" s="1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0"/>
      <c r="D104" s="18"/>
      <c r="E104" s="1"/>
      <c r="F104" s="1"/>
      <c r="G104" s="1"/>
      <c r="H104" s="1"/>
      <c r="I104" s="1"/>
      <c r="J104" s="1"/>
      <c r="K104" s="10"/>
      <c r="L104" s="10"/>
      <c r="M104" s="1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0"/>
      <c r="D105" s="18"/>
      <c r="E105" s="1"/>
      <c r="F105" s="1"/>
      <c r="G105" s="1"/>
      <c r="H105" s="1"/>
      <c r="I105" s="1"/>
      <c r="J105" s="1"/>
      <c r="K105" s="10"/>
      <c r="L105" s="10"/>
      <c r="M105" s="1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0"/>
      <c r="D106" s="18"/>
      <c r="E106" s="1"/>
      <c r="F106" s="1"/>
      <c r="G106" s="1"/>
      <c r="H106" s="1"/>
      <c r="I106" s="1"/>
      <c r="J106" s="1"/>
      <c r="K106" s="10"/>
      <c r="L106" s="10"/>
      <c r="M106" s="1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0"/>
      <c r="D107" s="18"/>
      <c r="E107" s="1"/>
      <c r="F107" s="1"/>
      <c r="G107" s="1"/>
      <c r="H107" s="1"/>
      <c r="I107" s="1"/>
      <c r="J107" s="1"/>
      <c r="K107" s="10"/>
      <c r="L107" s="10"/>
      <c r="M107" s="1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0"/>
      <c r="D108" s="18"/>
      <c r="E108" s="1"/>
      <c r="F108" s="1"/>
      <c r="G108" s="1"/>
      <c r="H108" s="1"/>
      <c r="I108" s="1"/>
      <c r="J108" s="1"/>
      <c r="K108" s="10"/>
      <c r="L108" s="10"/>
      <c r="M108" s="1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0"/>
      <c r="D109" s="18"/>
      <c r="E109" s="1"/>
      <c r="F109" s="1"/>
      <c r="G109" s="1"/>
      <c r="H109" s="1"/>
      <c r="I109" s="1"/>
      <c r="J109" s="1"/>
      <c r="K109" s="10"/>
      <c r="L109" s="10"/>
      <c r="M109" s="1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0"/>
      <c r="D110" s="18"/>
      <c r="E110" s="1"/>
      <c r="F110" s="1"/>
      <c r="G110" s="1"/>
      <c r="H110" s="1"/>
      <c r="I110" s="1"/>
      <c r="J110" s="1"/>
      <c r="K110" s="10"/>
      <c r="L110" s="10"/>
      <c r="M110" s="1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0"/>
      <c r="D111" s="18"/>
      <c r="E111" s="1"/>
      <c r="F111" s="1"/>
      <c r="G111" s="1"/>
      <c r="H111" s="1"/>
      <c r="I111" s="1"/>
      <c r="J111" s="1"/>
      <c r="K111" s="10"/>
      <c r="L111" s="10"/>
      <c r="M111" s="1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0"/>
      <c r="D112" s="18"/>
      <c r="E112" s="1"/>
      <c r="F112" s="1"/>
      <c r="G112" s="1"/>
      <c r="H112" s="1"/>
      <c r="I112" s="1"/>
      <c r="J112" s="1"/>
      <c r="K112" s="10"/>
      <c r="L112" s="10"/>
      <c r="M112" s="1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0"/>
      <c r="D113" s="18"/>
      <c r="E113" s="1"/>
      <c r="F113" s="1"/>
      <c r="G113" s="1"/>
      <c r="H113" s="1"/>
      <c r="I113" s="1"/>
      <c r="J113" s="1"/>
      <c r="K113" s="10"/>
      <c r="L113" s="10"/>
      <c r="M113" s="1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0"/>
      <c r="D114" s="18"/>
      <c r="E114" s="1"/>
      <c r="F114" s="1"/>
      <c r="G114" s="1"/>
      <c r="H114" s="1"/>
      <c r="I114" s="1"/>
      <c r="J114" s="1"/>
      <c r="K114" s="10"/>
      <c r="L114" s="10"/>
      <c r="M114" s="1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0"/>
      <c r="D115" s="18"/>
      <c r="E115" s="1"/>
      <c r="F115" s="1"/>
      <c r="G115" s="1"/>
      <c r="H115" s="1"/>
      <c r="I115" s="1"/>
      <c r="J115" s="1"/>
      <c r="K115" s="10"/>
      <c r="L115" s="10"/>
      <c r="M115" s="1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0"/>
      <c r="D116" s="18"/>
      <c r="E116" s="1"/>
      <c r="F116" s="1"/>
      <c r="G116" s="1"/>
      <c r="H116" s="1"/>
      <c r="I116" s="1"/>
      <c r="J116" s="1"/>
      <c r="K116" s="10"/>
      <c r="L116" s="10"/>
      <c r="M116" s="1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0"/>
      <c r="D117" s="18"/>
      <c r="E117" s="1"/>
      <c r="F117" s="1"/>
      <c r="G117" s="1"/>
      <c r="H117" s="1"/>
      <c r="I117" s="1"/>
      <c r="J117" s="1"/>
      <c r="K117" s="10"/>
      <c r="L117" s="10"/>
      <c r="M117" s="1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0"/>
      <c r="D118" s="18"/>
      <c r="E118" s="1"/>
      <c r="F118" s="1"/>
      <c r="G118" s="1"/>
      <c r="H118" s="1"/>
      <c r="I118" s="1"/>
      <c r="J118" s="1"/>
      <c r="K118" s="10"/>
      <c r="L118" s="10"/>
      <c r="M118" s="1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0"/>
      <c r="D119" s="18"/>
      <c r="E119" s="1"/>
      <c r="F119" s="1"/>
      <c r="G119" s="1"/>
      <c r="H119" s="1"/>
      <c r="I119" s="1"/>
      <c r="J119" s="1"/>
      <c r="K119" s="10"/>
      <c r="L119" s="10"/>
      <c r="M119" s="1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0"/>
      <c r="D120" s="18"/>
      <c r="E120" s="1"/>
      <c r="F120" s="1"/>
      <c r="G120" s="1"/>
      <c r="H120" s="1"/>
      <c r="I120" s="1"/>
      <c r="J120" s="1"/>
      <c r="K120" s="10"/>
      <c r="L120" s="10"/>
      <c r="M120" s="1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0"/>
      <c r="D121" s="18"/>
      <c r="E121" s="1"/>
      <c r="F121" s="1"/>
      <c r="G121" s="1"/>
      <c r="H121" s="1"/>
      <c r="I121" s="1"/>
      <c r="J121" s="1"/>
      <c r="K121" s="10"/>
      <c r="L121" s="10"/>
      <c r="M121" s="1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0"/>
      <c r="D122" s="18"/>
      <c r="E122" s="1"/>
      <c r="F122" s="1"/>
      <c r="G122" s="1"/>
      <c r="H122" s="1"/>
      <c r="I122" s="1"/>
      <c r="J122" s="1"/>
      <c r="K122" s="10"/>
      <c r="L122" s="10"/>
      <c r="M122" s="1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0"/>
      <c r="D123" s="18"/>
      <c r="E123" s="1"/>
      <c r="F123" s="1"/>
      <c r="G123" s="1"/>
      <c r="H123" s="1"/>
      <c r="I123" s="1"/>
      <c r="J123" s="1"/>
      <c r="K123" s="10"/>
      <c r="L123" s="10"/>
      <c r="M123" s="1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0"/>
      <c r="D124" s="18"/>
      <c r="E124" s="1"/>
      <c r="F124" s="1"/>
      <c r="G124" s="1"/>
      <c r="H124" s="1"/>
      <c r="I124" s="1"/>
      <c r="J124" s="1"/>
      <c r="K124" s="10"/>
      <c r="L124" s="10"/>
      <c r="M124" s="1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0"/>
      <c r="D125" s="18"/>
      <c r="E125" s="1"/>
      <c r="F125" s="1"/>
      <c r="G125" s="1"/>
      <c r="H125" s="1"/>
      <c r="I125" s="1"/>
      <c r="J125" s="1"/>
      <c r="K125" s="10"/>
      <c r="L125" s="10"/>
      <c r="M125" s="1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0"/>
      <c r="D126" s="18"/>
      <c r="E126" s="1"/>
      <c r="F126" s="1"/>
      <c r="G126" s="1"/>
      <c r="H126" s="1"/>
      <c r="I126" s="1"/>
      <c r="J126" s="1"/>
      <c r="K126" s="10"/>
      <c r="L126" s="10"/>
      <c r="M126" s="1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0"/>
      <c r="D127" s="18"/>
      <c r="E127" s="1"/>
      <c r="F127" s="1"/>
      <c r="G127" s="1"/>
      <c r="H127" s="1"/>
      <c r="I127" s="1"/>
      <c r="J127" s="1"/>
      <c r="K127" s="10"/>
      <c r="L127" s="10"/>
      <c r="M127" s="1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0"/>
      <c r="D128" s="18"/>
      <c r="E128" s="1"/>
      <c r="F128" s="1"/>
      <c r="G128" s="1"/>
      <c r="H128" s="1"/>
      <c r="I128" s="1"/>
      <c r="J128" s="1"/>
      <c r="K128" s="10"/>
      <c r="L128" s="10"/>
      <c r="M128" s="1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0"/>
      <c r="D129" s="18"/>
      <c r="E129" s="1"/>
      <c r="F129" s="1"/>
      <c r="G129" s="1"/>
      <c r="H129" s="1"/>
      <c r="I129" s="1"/>
      <c r="J129" s="1"/>
      <c r="K129" s="10"/>
      <c r="L129" s="10"/>
      <c r="M129" s="1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0"/>
      <c r="D130" s="18"/>
      <c r="E130" s="1"/>
      <c r="F130" s="1"/>
      <c r="G130" s="1"/>
      <c r="H130" s="1"/>
      <c r="I130" s="1"/>
      <c r="J130" s="1"/>
      <c r="K130" s="10"/>
      <c r="L130" s="10"/>
      <c r="M130" s="1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0"/>
      <c r="D131" s="18"/>
      <c r="E131" s="1"/>
      <c r="F131" s="1"/>
      <c r="G131" s="1"/>
      <c r="H131" s="1"/>
      <c r="I131" s="1"/>
      <c r="J131" s="1"/>
      <c r="K131" s="10"/>
      <c r="L131" s="10"/>
      <c r="M131" s="1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0"/>
      <c r="D132" s="18"/>
      <c r="E132" s="1"/>
      <c r="F132" s="1"/>
      <c r="G132" s="1"/>
      <c r="H132" s="1"/>
      <c r="I132" s="1"/>
      <c r="J132" s="1"/>
      <c r="K132" s="10"/>
      <c r="L132" s="10"/>
      <c r="M132" s="1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0"/>
      <c r="D133" s="18"/>
      <c r="E133" s="1"/>
      <c r="F133" s="1"/>
      <c r="G133" s="1"/>
      <c r="H133" s="1"/>
      <c r="I133" s="1"/>
      <c r="J133" s="1"/>
      <c r="K133" s="10"/>
      <c r="L133" s="10"/>
      <c r="M133" s="1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0"/>
      <c r="D134" s="18"/>
      <c r="E134" s="1"/>
      <c r="F134" s="1"/>
      <c r="G134" s="1"/>
      <c r="H134" s="1"/>
      <c r="I134" s="1"/>
      <c r="J134" s="1"/>
      <c r="K134" s="10"/>
      <c r="L134" s="10"/>
      <c r="M134" s="1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0"/>
      <c r="D135" s="18"/>
      <c r="E135" s="1"/>
      <c r="F135" s="1"/>
      <c r="G135" s="1"/>
      <c r="H135" s="1"/>
      <c r="I135" s="1"/>
      <c r="J135" s="1"/>
      <c r="K135" s="10"/>
      <c r="L135" s="10"/>
      <c r="M135" s="1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0"/>
      <c r="D136" s="18"/>
      <c r="E136" s="1"/>
      <c r="F136" s="1"/>
      <c r="G136" s="1"/>
      <c r="H136" s="1"/>
      <c r="I136" s="1"/>
      <c r="J136" s="1"/>
      <c r="K136" s="10"/>
      <c r="L136" s="10"/>
      <c r="M136" s="1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0"/>
      <c r="D137" s="18"/>
      <c r="E137" s="1"/>
      <c r="F137" s="1"/>
      <c r="G137" s="1"/>
      <c r="H137" s="1"/>
      <c r="I137" s="1"/>
      <c r="J137" s="1"/>
      <c r="K137" s="10"/>
      <c r="L137" s="10"/>
      <c r="M137" s="1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0"/>
      <c r="D138" s="18"/>
      <c r="E138" s="1"/>
      <c r="F138" s="1"/>
      <c r="G138" s="1"/>
      <c r="H138" s="1"/>
      <c r="I138" s="1"/>
      <c r="J138" s="1"/>
      <c r="K138" s="10"/>
      <c r="L138" s="10"/>
      <c r="M138" s="1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0"/>
      <c r="D139" s="18"/>
      <c r="E139" s="1"/>
      <c r="F139" s="1"/>
      <c r="G139" s="1"/>
      <c r="H139" s="1"/>
      <c r="I139" s="1"/>
      <c r="J139" s="1"/>
      <c r="K139" s="10"/>
      <c r="L139" s="10"/>
      <c r="M139" s="1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0"/>
      <c r="D140" s="18"/>
      <c r="E140" s="1"/>
      <c r="F140" s="1"/>
      <c r="G140" s="1"/>
      <c r="H140" s="1"/>
      <c r="I140" s="1"/>
      <c r="J140" s="1"/>
      <c r="K140" s="10"/>
      <c r="L140" s="10"/>
      <c r="M140" s="1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0"/>
      <c r="D141" s="18"/>
      <c r="E141" s="1"/>
      <c r="F141" s="1"/>
      <c r="G141" s="1"/>
      <c r="H141" s="1"/>
      <c r="I141" s="1"/>
      <c r="J141" s="1"/>
      <c r="K141" s="10"/>
      <c r="L141" s="10"/>
      <c r="M141" s="1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0"/>
      <c r="D142" s="18"/>
      <c r="E142" s="1"/>
      <c r="F142" s="1"/>
      <c r="G142" s="1"/>
      <c r="H142" s="1"/>
      <c r="I142" s="1"/>
      <c r="J142" s="1"/>
      <c r="K142" s="10"/>
      <c r="L142" s="10"/>
      <c r="M142" s="1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0"/>
      <c r="D143" s="18"/>
      <c r="E143" s="1"/>
      <c r="F143" s="1"/>
      <c r="G143" s="1"/>
      <c r="H143" s="1"/>
      <c r="I143" s="1"/>
      <c r="J143" s="1"/>
      <c r="K143" s="10"/>
      <c r="L143" s="10"/>
      <c r="M143" s="1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0"/>
      <c r="D144" s="18"/>
      <c r="E144" s="1"/>
      <c r="F144" s="1"/>
      <c r="G144" s="1"/>
      <c r="H144" s="1"/>
      <c r="I144" s="1"/>
      <c r="J144" s="1"/>
      <c r="K144" s="10"/>
      <c r="L144" s="10"/>
      <c r="M144" s="1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0"/>
      <c r="D145" s="18"/>
      <c r="E145" s="1"/>
      <c r="F145" s="1"/>
      <c r="G145" s="1"/>
      <c r="H145" s="1"/>
      <c r="I145" s="1"/>
      <c r="J145" s="1"/>
      <c r="K145" s="10"/>
      <c r="L145" s="10"/>
      <c r="M145" s="1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0"/>
      <c r="D146" s="18"/>
      <c r="E146" s="1"/>
      <c r="F146" s="1"/>
      <c r="G146" s="1"/>
      <c r="H146" s="1"/>
      <c r="I146" s="1"/>
      <c r="J146" s="1"/>
      <c r="K146" s="10"/>
      <c r="L146" s="10"/>
      <c r="M146" s="1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0"/>
      <c r="D147" s="18"/>
      <c r="E147" s="1"/>
      <c r="F147" s="1"/>
      <c r="G147" s="1"/>
      <c r="H147" s="1"/>
      <c r="I147" s="1"/>
      <c r="J147" s="1"/>
      <c r="K147" s="10"/>
      <c r="L147" s="10"/>
      <c r="M147" s="1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0"/>
      <c r="D148" s="18"/>
      <c r="E148" s="1"/>
      <c r="F148" s="1"/>
      <c r="G148" s="1"/>
      <c r="H148" s="1"/>
      <c r="I148" s="1"/>
      <c r="J148" s="1"/>
      <c r="K148" s="10"/>
      <c r="L148" s="10"/>
      <c r="M148" s="1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0"/>
      <c r="D149" s="18"/>
      <c r="E149" s="1"/>
      <c r="F149" s="1"/>
      <c r="G149" s="1"/>
      <c r="H149" s="1"/>
      <c r="I149" s="1"/>
      <c r="J149" s="1"/>
      <c r="K149" s="10"/>
      <c r="L149" s="10"/>
      <c r="M149" s="1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0"/>
      <c r="D150" s="18"/>
      <c r="E150" s="1"/>
      <c r="F150" s="1"/>
      <c r="G150" s="1"/>
      <c r="H150" s="1"/>
      <c r="I150" s="1"/>
      <c r="J150" s="1"/>
      <c r="K150" s="10"/>
      <c r="L150" s="10"/>
      <c r="M150" s="1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0"/>
      <c r="D151" s="18"/>
      <c r="E151" s="1"/>
      <c r="F151" s="1"/>
      <c r="G151" s="1"/>
      <c r="H151" s="1"/>
      <c r="I151" s="1"/>
      <c r="J151" s="1"/>
      <c r="K151" s="10"/>
      <c r="L151" s="10"/>
      <c r="M151" s="1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0"/>
      <c r="D152" s="18"/>
      <c r="E152" s="1"/>
      <c r="F152" s="1"/>
      <c r="G152" s="1"/>
      <c r="H152" s="1"/>
      <c r="I152" s="1"/>
      <c r="J152" s="1"/>
      <c r="K152" s="10"/>
      <c r="L152" s="10"/>
      <c r="M152" s="1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0"/>
      <c r="D153" s="18"/>
      <c r="E153" s="1"/>
      <c r="F153" s="1"/>
      <c r="G153" s="1"/>
      <c r="H153" s="1"/>
      <c r="I153" s="1"/>
      <c r="J153" s="1"/>
      <c r="K153" s="10"/>
      <c r="L153" s="10"/>
      <c r="M153" s="1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0"/>
      <c r="D154" s="18"/>
      <c r="E154" s="1"/>
      <c r="F154" s="1"/>
      <c r="G154" s="1"/>
      <c r="H154" s="1"/>
      <c r="I154" s="1"/>
      <c r="J154" s="1"/>
      <c r="K154" s="10"/>
      <c r="L154" s="10"/>
      <c r="M154" s="1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0"/>
      <c r="D155" s="18"/>
      <c r="E155" s="1"/>
      <c r="F155" s="1"/>
      <c r="G155" s="1"/>
      <c r="H155" s="1"/>
      <c r="I155" s="1"/>
      <c r="J155" s="1"/>
      <c r="K155" s="10"/>
      <c r="L155" s="10"/>
      <c r="M155" s="1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0"/>
      <c r="D156" s="18"/>
      <c r="E156" s="1"/>
      <c r="F156" s="1"/>
      <c r="G156" s="1"/>
      <c r="H156" s="1"/>
      <c r="I156" s="1"/>
      <c r="J156" s="1"/>
      <c r="K156" s="10"/>
      <c r="L156" s="10"/>
      <c r="M156" s="1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0"/>
      <c r="D157" s="18"/>
      <c r="E157" s="1"/>
      <c r="F157" s="1"/>
      <c r="G157" s="1"/>
      <c r="H157" s="1"/>
      <c r="I157" s="1"/>
      <c r="J157" s="1"/>
      <c r="K157" s="10"/>
      <c r="L157" s="10"/>
      <c r="M157" s="1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0"/>
      <c r="D158" s="18"/>
      <c r="E158" s="1"/>
      <c r="F158" s="1"/>
      <c r="G158" s="1"/>
      <c r="H158" s="1"/>
      <c r="I158" s="1"/>
      <c r="J158" s="1"/>
      <c r="K158" s="10"/>
      <c r="L158" s="10"/>
      <c r="M158" s="1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0"/>
      <c r="D159" s="18"/>
      <c r="E159" s="1"/>
      <c r="F159" s="1"/>
      <c r="G159" s="1"/>
      <c r="H159" s="1"/>
      <c r="I159" s="1"/>
      <c r="J159" s="1"/>
      <c r="K159" s="10"/>
      <c r="L159" s="10"/>
      <c r="M159" s="1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0"/>
      <c r="D160" s="18"/>
      <c r="E160" s="1"/>
      <c r="F160" s="1"/>
      <c r="G160" s="1"/>
      <c r="H160" s="1"/>
      <c r="I160" s="1"/>
      <c r="J160" s="1"/>
      <c r="K160" s="10"/>
      <c r="L160" s="10"/>
      <c r="M160" s="1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0"/>
      <c r="D161" s="18"/>
      <c r="E161" s="1"/>
      <c r="F161" s="1"/>
      <c r="G161" s="1"/>
      <c r="H161" s="1"/>
      <c r="I161" s="1"/>
      <c r="J161" s="1"/>
      <c r="K161" s="10"/>
      <c r="L161" s="10"/>
      <c r="M161" s="1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0"/>
      <c r="D162" s="18"/>
      <c r="E162" s="1"/>
      <c r="F162" s="1"/>
      <c r="G162" s="1"/>
      <c r="H162" s="1"/>
      <c r="I162" s="1"/>
      <c r="J162" s="1"/>
      <c r="K162" s="10"/>
      <c r="L162" s="10"/>
      <c r="M162" s="1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0"/>
      <c r="D163" s="18"/>
      <c r="E163" s="1"/>
      <c r="F163" s="1"/>
      <c r="G163" s="1"/>
      <c r="H163" s="1"/>
      <c r="I163" s="1"/>
      <c r="J163" s="1"/>
      <c r="K163" s="10"/>
      <c r="L163" s="10"/>
      <c r="M163" s="1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0"/>
      <c r="D164" s="18"/>
      <c r="E164" s="1"/>
      <c r="F164" s="1"/>
      <c r="G164" s="1"/>
      <c r="H164" s="1"/>
      <c r="I164" s="1"/>
      <c r="J164" s="1"/>
      <c r="K164" s="10"/>
      <c r="L164" s="10"/>
      <c r="M164" s="1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0"/>
      <c r="D165" s="18"/>
      <c r="E165" s="1"/>
      <c r="F165" s="1"/>
      <c r="G165" s="1"/>
      <c r="H165" s="1"/>
      <c r="I165" s="1"/>
      <c r="J165" s="1"/>
      <c r="K165" s="10"/>
      <c r="L165" s="10"/>
      <c r="M165" s="1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0"/>
      <c r="D166" s="18"/>
      <c r="E166" s="1"/>
      <c r="F166" s="1"/>
      <c r="G166" s="1"/>
      <c r="H166" s="1"/>
      <c r="I166" s="1"/>
      <c r="J166" s="1"/>
      <c r="K166" s="10"/>
      <c r="L166" s="10"/>
      <c r="M166" s="1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0"/>
      <c r="D167" s="18"/>
      <c r="E167" s="1"/>
      <c r="F167" s="1"/>
      <c r="G167" s="1"/>
      <c r="H167" s="1"/>
      <c r="I167" s="1"/>
      <c r="J167" s="1"/>
      <c r="K167" s="10"/>
      <c r="L167" s="10"/>
      <c r="M167" s="1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0"/>
      <c r="D168" s="18"/>
      <c r="E168" s="1"/>
      <c r="F168" s="1"/>
      <c r="G168" s="1"/>
      <c r="H168" s="1"/>
      <c r="I168" s="1"/>
      <c r="J168" s="1"/>
      <c r="K168" s="10"/>
      <c r="L168" s="10"/>
      <c r="M168" s="1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0"/>
      <c r="D169" s="18"/>
      <c r="E169" s="1"/>
      <c r="F169" s="1"/>
      <c r="G169" s="1"/>
      <c r="H169" s="1"/>
      <c r="I169" s="1"/>
      <c r="J169" s="1"/>
      <c r="K169" s="10"/>
      <c r="L169" s="10"/>
      <c r="M169" s="1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0"/>
      <c r="D170" s="18"/>
      <c r="E170" s="1"/>
      <c r="F170" s="1"/>
      <c r="G170" s="1"/>
      <c r="H170" s="1"/>
      <c r="I170" s="1"/>
      <c r="J170" s="1"/>
      <c r="K170" s="10"/>
      <c r="L170" s="10"/>
      <c r="M170" s="1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0"/>
      <c r="D171" s="18"/>
      <c r="E171" s="1"/>
      <c r="F171" s="1"/>
      <c r="G171" s="1"/>
      <c r="H171" s="1"/>
      <c r="I171" s="1"/>
      <c r="J171" s="1"/>
      <c r="K171" s="10"/>
      <c r="L171" s="10"/>
      <c r="M171" s="1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0"/>
      <c r="D172" s="18"/>
      <c r="E172" s="1"/>
      <c r="F172" s="1"/>
      <c r="G172" s="1"/>
      <c r="H172" s="1"/>
      <c r="I172" s="1"/>
      <c r="J172" s="1"/>
      <c r="K172" s="10"/>
      <c r="L172" s="10"/>
      <c r="M172" s="1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0"/>
      <c r="D173" s="18"/>
      <c r="E173" s="1"/>
      <c r="F173" s="1"/>
      <c r="G173" s="1"/>
      <c r="H173" s="1"/>
      <c r="I173" s="1"/>
      <c r="J173" s="1"/>
      <c r="K173" s="10"/>
      <c r="L173" s="10"/>
      <c r="M173" s="1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0"/>
      <c r="D174" s="18"/>
      <c r="E174" s="1"/>
      <c r="F174" s="1"/>
      <c r="G174" s="1"/>
      <c r="H174" s="1"/>
      <c r="I174" s="1"/>
      <c r="J174" s="1"/>
      <c r="K174" s="10"/>
      <c r="L174" s="10"/>
      <c r="M174" s="1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0"/>
      <c r="D175" s="18"/>
      <c r="E175" s="1"/>
      <c r="F175" s="1"/>
      <c r="G175" s="1"/>
      <c r="H175" s="1"/>
      <c r="I175" s="1"/>
      <c r="J175" s="1"/>
      <c r="K175" s="10"/>
      <c r="L175" s="10"/>
      <c r="M175" s="1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0"/>
      <c r="D176" s="18"/>
      <c r="E176" s="1"/>
      <c r="F176" s="1"/>
      <c r="G176" s="1"/>
      <c r="H176" s="1"/>
      <c r="I176" s="1"/>
      <c r="J176" s="1"/>
      <c r="K176" s="10"/>
      <c r="L176" s="10"/>
      <c r="M176" s="1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0"/>
      <c r="D177" s="18"/>
      <c r="E177" s="1"/>
      <c r="F177" s="1"/>
      <c r="G177" s="1"/>
      <c r="H177" s="1"/>
      <c r="I177" s="1"/>
      <c r="J177" s="1"/>
      <c r="K177" s="10"/>
      <c r="L177" s="10"/>
      <c r="M177" s="1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0"/>
      <c r="D178" s="18"/>
      <c r="E178" s="1"/>
      <c r="F178" s="1"/>
      <c r="G178" s="1"/>
      <c r="H178" s="1"/>
      <c r="I178" s="1"/>
      <c r="J178" s="1"/>
      <c r="K178" s="10"/>
      <c r="L178" s="10"/>
      <c r="M178" s="1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0"/>
      <c r="D179" s="18"/>
      <c r="E179" s="1"/>
      <c r="F179" s="1"/>
      <c r="G179" s="1"/>
      <c r="H179" s="1"/>
      <c r="I179" s="1"/>
      <c r="J179" s="1"/>
      <c r="K179" s="10"/>
      <c r="L179" s="10"/>
      <c r="M179" s="1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0"/>
      <c r="D180" s="18"/>
      <c r="E180" s="1"/>
      <c r="F180" s="1"/>
      <c r="G180" s="1"/>
      <c r="H180" s="1"/>
      <c r="I180" s="1"/>
      <c r="J180" s="1"/>
      <c r="K180" s="10"/>
      <c r="L180" s="10"/>
      <c r="M180" s="1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0"/>
      <c r="D181" s="18"/>
      <c r="E181" s="1"/>
      <c r="F181" s="1"/>
      <c r="G181" s="1"/>
      <c r="H181" s="1"/>
      <c r="I181" s="1"/>
      <c r="J181" s="1"/>
      <c r="K181" s="10"/>
      <c r="L181" s="10"/>
      <c r="M181" s="1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0"/>
      <c r="D182" s="18"/>
      <c r="E182" s="1"/>
      <c r="F182" s="1"/>
      <c r="G182" s="1"/>
      <c r="H182" s="1"/>
      <c r="I182" s="1"/>
      <c r="J182" s="1"/>
      <c r="K182" s="10"/>
      <c r="L182" s="10"/>
      <c r="M182" s="1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0"/>
      <c r="D183" s="18"/>
      <c r="E183" s="1"/>
      <c r="F183" s="1"/>
      <c r="G183" s="1"/>
      <c r="H183" s="1"/>
      <c r="I183" s="1"/>
      <c r="J183" s="1"/>
      <c r="K183" s="10"/>
      <c r="L183" s="10"/>
      <c r="M183" s="1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0"/>
      <c r="D184" s="18"/>
      <c r="E184" s="1"/>
      <c r="F184" s="1"/>
      <c r="G184" s="1"/>
      <c r="H184" s="1"/>
      <c r="I184" s="1"/>
      <c r="J184" s="1"/>
      <c r="K184" s="10"/>
      <c r="L184" s="10"/>
      <c r="M184" s="1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0"/>
      <c r="D185" s="18"/>
      <c r="E185" s="1"/>
      <c r="F185" s="1"/>
      <c r="G185" s="1"/>
      <c r="H185" s="1"/>
      <c r="I185" s="1"/>
      <c r="J185" s="1"/>
      <c r="K185" s="10"/>
      <c r="L185" s="10"/>
      <c r="M185" s="1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0"/>
      <c r="D186" s="18"/>
      <c r="E186" s="1"/>
      <c r="F186" s="1"/>
      <c r="G186" s="1"/>
      <c r="H186" s="1"/>
      <c r="I186" s="1"/>
      <c r="J186" s="1"/>
      <c r="K186" s="10"/>
      <c r="L186" s="10"/>
      <c r="M186" s="1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0"/>
      <c r="D187" s="18"/>
      <c r="E187" s="1"/>
      <c r="F187" s="1"/>
      <c r="G187" s="1"/>
      <c r="H187" s="1"/>
      <c r="I187" s="1"/>
      <c r="J187" s="1"/>
      <c r="K187" s="10"/>
      <c r="L187" s="10"/>
      <c r="M187" s="1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0"/>
      <c r="D188" s="18"/>
      <c r="E188" s="1"/>
      <c r="F188" s="1"/>
      <c r="G188" s="1"/>
      <c r="H188" s="1"/>
      <c r="I188" s="1"/>
      <c r="J188" s="1"/>
      <c r="K188" s="10"/>
      <c r="L188" s="10"/>
      <c r="M188" s="1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0"/>
      <c r="D189" s="18"/>
      <c r="E189" s="1"/>
      <c r="F189" s="1"/>
      <c r="G189" s="1"/>
      <c r="H189" s="1"/>
      <c r="I189" s="1"/>
      <c r="J189" s="1"/>
      <c r="K189" s="10"/>
      <c r="L189" s="10"/>
      <c r="M189" s="1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0"/>
      <c r="D190" s="18"/>
      <c r="E190" s="1"/>
      <c r="F190" s="1"/>
      <c r="G190" s="1"/>
      <c r="H190" s="1"/>
      <c r="I190" s="1"/>
      <c r="J190" s="1"/>
      <c r="K190" s="10"/>
      <c r="L190" s="10"/>
      <c r="M190" s="10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0"/>
      <c r="D191" s="18"/>
      <c r="E191" s="1"/>
      <c r="F191" s="1"/>
      <c r="G191" s="1"/>
      <c r="H191" s="1"/>
      <c r="I191" s="1"/>
      <c r="J191" s="1"/>
      <c r="K191" s="10"/>
      <c r="L191" s="10"/>
      <c r="M191" s="1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0"/>
      <c r="D192" s="18"/>
      <c r="E192" s="1"/>
      <c r="F192" s="1"/>
      <c r="G192" s="1"/>
      <c r="H192" s="1"/>
      <c r="I192" s="1"/>
      <c r="J192" s="1"/>
      <c r="K192" s="10"/>
      <c r="L192" s="10"/>
      <c r="M192" s="1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0"/>
      <c r="D193" s="18"/>
      <c r="E193" s="1"/>
      <c r="F193" s="1"/>
      <c r="G193" s="1"/>
      <c r="H193" s="1"/>
      <c r="I193" s="1"/>
      <c r="J193" s="1"/>
      <c r="K193" s="10"/>
      <c r="L193" s="10"/>
      <c r="M193" s="1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0"/>
      <c r="D194" s="18"/>
      <c r="E194" s="1"/>
      <c r="F194" s="1"/>
      <c r="G194" s="1"/>
      <c r="H194" s="1"/>
      <c r="I194" s="1"/>
      <c r="J194" s="1"/>
      <c r="K194" s="10"/>
      <c r="L194" s="10"/>
      <c r="M194" s="1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0"/>
      <c r="D195" s="18"/>
      <c r="E195" s="1"/>
      <c r="F195" s="1"/>
      <c r="G195" s="1"/>
      <c r="H195" s="1"/>
      <c r="I195" s="1"/>
      <c r="J195" s="1"/>
      <c r="K195" s="10"/>
      <c r="L195" s="10"/>
      <c r="M195" s="1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0"/>
      <c r="D196" s="18"/>
      <c r="E196" s="1"/>
      <c r="F196" s="1"/>
      <c r="G196" s="1"/>
      <c r="H196" s="1"/>
      <c r="I196" s="1"/>
      <c r="J196" s="1"/>
      <c r="K196" s="10"/>
      <c r="L196" s="10"/>
      <c r="M196" s="1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0"/>
      <c r="D197" s="18"/>
      <c r="E197" s="1"/>
      <c r="F197" s="1"/>
      <c r="G197" s="1"/>
      <c r="H197" s="1"/>
      <c r="I197" s="1"/>
      <c r="J197" s="1"/>
      <c r="K197" s="10"/>
      <c r="L197" s="10"/>
      <c r="M197" s="1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0"/>
      <c r="D198" s="18"/>
      <c r="E198" s="1"/>
      <c r="F198" s="1"/>
      <c r="G198" s="1"/>
      <c r="H198" s="1"/>
      <c r="I198" s="1"/>
      <c r="J198" s="1"/>
      <c r="K198" s="10"/>
      <c r="L198" s="10"/>
      <c r="M198" s="1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0"/>
      <c r="D199" s="18"/>
      <c r="E199" s="1"/>
      <c r="F199" s="1"/>
      <c r="G199" s="1"/>
      <c r="H199" s="1"/>
      <c r="I199" s="1"/>
      <c r="J199" s="1"/>
      <c r="K199" s="10"/>
      <c r="L199" s="10"/>
      <c r="M199" s="1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0"/>
      <c r="D200" s="18"/>
      <c r="E200" s="1"/>
      <c r="F200" s="1"/>
      <c r="G200" s="1"/>
      <c r="H200" s="1"/>
      <c r="I200" s="1"/>
      <c r="J200" s="1"/>
      <c r="K200" s="10"/>
      <c r="L200" s="10"/>
      <c r="M200" s="1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0"/>
      <c r="D201" s="18"/>
      <c r="E201" s="1"/>
      <c r="F201" s="1"/>
      <c r="G201" s="1"/>
      <c r="H201" s="1"/>
      <c r="I201" s="1"/>
      <c r="J201" s="1"/>
      <c r="K201" s="10"/>
      <c r="L201" s="10"/>
      <c r="M201" s="1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0"/>
      <c r="D202" s="18"/>
      <c r="E202" s="1"/>
      <c r="F202" s="1"/>
      <c r="G202" s="1"/>
      <c r="H202" s="1"/>
      <c r="I202" s="1"/>
      <c r="J202" s="1"/>
      <c r="K202" s="10"/>
      <c r="L202" s="10"/>
      <c r="M202" s="1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0"/>
      <c r="D203" s="18"/>
      <c r="E203" s="1"/>
      <c r="F203" s="1"/>
      <c r="G203" s="1"/>
      <c r="H203" s="1"/>
      <c r="I203" s="1"/>
      <c r="J203" s="1"/>
      <c r="K203" s="10"/>
      <c r="L203" s="10"/>
      <c r="M203" s="1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0"/>
      <c r="D204" s="18"/>
      <c r="E204" s="1"/>
      <c r="F204" s="1"/>
      <c r="G204" s="1"/>
      <c r="H204" s="1"/>
      <c r="I204" s="1"/>
      <c r="J204" s="1"/>
      <c r="K204" s="10"/>
      <c r="L204" s="10"/>
      <c r="M204" s="1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0"/>
      <c r="D205" s="18"/>
      <c r="E205" s="1"/>
      <c r="F205" s="1"/>
      <c r="G205" s="1"/>
      <c r="H205" s="1"/>
      <c r="I205" s="1"/>
      <c r="J205" s="1"/>
      <c r="K205" s="10"/>
      <c r="L205" s="10"/>
      <c r="M205" s="1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0"/>
      <c r="D206" s="18"/>
      <c r="E206" s="1"/>
      <c r="F206" s="1"/>
      <c r="G206" s="1"/>
      <c r="H206" s="1"/>
      <c r="I206" s="1"/>
      <c r="J206" s="1"/>
      <c r="K206" s="10"/>
      <c r="L206" s="10"/>
      <c r="M206" s="1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0"/>
      <c r="D207" s="18"/>
      <c r="E207" s="1"/>
      <c r="F207" s="1"/>
      <c r="G207" s="1"/>
      <c r="H207" s="1"/>
      <c r="I207" s="1"/>
      <c r="J207" s="1"/>
      <c r="K207" s="10"/>
      <c r="L207" s="10"/>
      <c r="M207" s="1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0"/>
      <c r="D208" s="18"/>
      <c r="E208" s="1"/>
      <c r="F208" s="1"/>
      <c r="G208" s="1"/>
      <c r="H208" s="1"/>
      <c r="I208" s="1"/>
      <c r="J208" s="1"/>
      <c r="K208" s="10"/>
      <c r="L208" s="10"/>
      <c r="M208" s="1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0"/>
      <c r="D209" s="18"/>
      <c r="E209" s="1"/>
      <c r="F209" s="1"/>
      <c r="G209" s="1"/>
      <c r="H209" s="1"/>
      <c r="I209" s="1"/>
      <c r="J209" s="1"/>
      <c r="K209" s="10"/>
      <c r="L209" s="10"/>
      <c r="M209" s="1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0"/>
      <c r="D210" s="18"/>
      <c r="E210" s="1"/>
      <c r="F210" s="1"/>
      <c r="G210" s="1"/>
      <c r="H210" s="1"/>
      <c r="I210" s="1"/>
      <c r="J210" s="1"/>
      <c r="K210" s="10"/>
      <c r="L210" s="10"/>
      <c r="M210" s="1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0"/>
      <c r="D211" s="18"/>
      <c r="E211" s="1"/>
      <c r="F211" s="1"/>
      <c r="G211" s="1"/>
      <c r="H211" s="1"/>
      <c r="I211" s="1"/>
      <c r="J211" s="1"/>
      <c r="K211" s="10"/>
      <c r="L211" s="10"/>
      <c r="M211" s="1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0"/>
      <c r="D212" s="18"/>
      <c r="E212" s="1"/>
      <c r="F212" s="1"/>
      <c r="G212" s="1"/>
      <c r="H212" s="1"/>
      <c r="I212" s="1"/>
      <c r="J212" s="1"/>
      <c r="K212" s="10"/>
      <c r="L212" s="10"/>
      <c r="M212" s="1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0"/>
      <c r="D213" s="18"/>
      <c r="E213" s="1"/>
      <c r="F213" s="1"/>
      <c r="G213" s="1"/>
      <c r="H213" s="1"/>
      <c r="I213" s="1"/>
      <c r="J213" s="1"/>
      <c r="K213" s="10"/>
      <c r="L213" s="10"/>
      <c r="M213" s="1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0"/>
      <c r="D214" s="18"/>
      <c r="E214" s="1"/>
      <c r="F214" s="1"/>
      <c r="G214" s="1"/>
      <c r="H214" s="1"/>
      <c r="I214" s="1"/>
      <c r="J214" s="1"/>
      <c r="K214" s="10"/>
      <c r="L214" s="10"/>
      <c r="M214" s="1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0"/>
      <c r="D215" s="18"/>
      <c r="E215" s="1"/>
      <c r="F215" s="1"/>
      <c r="G215" s="1"/>
      <c r="H215" s="1"/>
      <c r="I215" s="1"/>
      <c r="J215" s="1"/>
      <c r="K215" s="10"/>
      <c r="L215" s="10"/>
      <c r="M215" s="10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0"/>
      <c r="D216" s="18"/>
      <c r="E216" s="1"/>
      <c r="F216" s="1"/>
      <c r="G216" s="1"/>
      <c r="H216" s="1"/>
      <c r="I216" s="1"/>
      <c r="J216" s="1"/>
      <c r="K216" s="10"/>
      <c r="L216" s="10"/>
      <c r="M216" s="10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0"/>
      <c r="D217" s="18"/>
      <c r="E217" s="1"/>
      <c r="F217" s="1"/>
      <c r="G217" s="1"/>
      <c r="H217" s="1"/>
      <c r="I217" s="1"/>
      <c r="J217" s="1"/>
      <c r="K217" s="10"/>
      <c r="L217" s="10"/>
      <c r="M217" s="10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0"/>
      <c r="D218" s="18"/>
      <c r="E218" s="1"/>
      <c r="F218" s="1"/>
      <c r="G218" s="1"/>
      <c r="H218" s="1"/>
      <c r="I218" s="1"/>
      <c r="J218" s="1"/>
      <c r="K218" s="10"/>
      <c r="L218" s="10"/>
      <c r="M218" s="1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0"/>
      <c r="D219" s="18"/>
      <c r="E219" s="1"/>
      <c r="F219" s="1"/>
      <c r="G219" s="1"/>
      <c r="H219" s="1"/>
      <c r="I219" s="1"/>
      <c r="J219" s="1"/>
      <c r="K219" s="10"/>
      <c r="L219" s="10"/>
      <c r="M219" s="10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0"/>
      <c r="D220" s="18"/>
      <c r="E220" s="1"/>
      <c r="F220" s="1"/>
      <c r="G220" s="1"/>
      <c r="H220" s="1"/>
      <c r="I220" s="1"/>
      <c r="J220" s="1"/>
      <c r="K220" s="10"/>
      <c r="L220" s="10"/>
      <c r="M220" s="10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3"/>
      <c r="W221" s="33"/>
      <c r="X221" s="33"/>
      <c r="Y221" s="33"/>
      <c r="Z221" s="33"/>
      <c r="AA221" s="33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3"/>
      <c r="W222" s="33"/>
      <c r="X222" s="33"/>
      <c r="Y222" s="33"/>
      <c r="Z222" s="33"/>
      <c r="AA222" s="33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3"/>
      <c r="W223" s="33"/>
      <c r="X223" s="33"/>
      <c r="Y223" s="33"/>
      <c r="Z223" s="33"/>
      <c r="AA223" s="33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3"/>
      <c r="W224" s="33"/>
      <c r="X224" s="33"/>
      <c r="Y224" s="33"/>
      <c r="Z224" s="33"/>
      <c r="AA224" s="33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3"/>
      <c r="W225" s="33"/>
      <c r="X225" s="33"/>
      <c r="Y225" s="33"/>
      <c r="Z225" s="33"/>
      <c r="AA225" s="33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3"/>
      <c r="W226" s="33"/>
      <c r="X226" s="33"/>
      <c r="Y226" s="33"/>
      <c r="Z226" s="33"/>
      <c r="AA226" s="33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3"/>
      <c r="W227" s="33"/>
      <c r="X227" s="33"/>
      <c r="Y227" s="33"/>
      <c r="Z227" s="33"/>
      <c r="AA227" s="33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3"/>
      <c r="W228" s="33"/>
      <c r="X228" s="33"/>
      <c r="Y228" s="33"/>
      <c r="Z228" s="33"/>
      <c r="AA228" s="33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3"/>
      <c r="W229" s="33"/>
      <c r="X229" s="33"/>
      <c r="Y229" s="33"/>
      <c r="Z229" s="33"/>
      <c r="AA229" s="33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3"/>
      <c r="W230" s="33"/>
      <c r="X230" s="33"/>
      <c r="Y230" s="33"/>
      <c r="Z230" s="33"/>
      <c r="AA230" s="33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3"/>
      <c r="W231" s="33"/>
      <c r="X231" s="33"/>
      <c r="Y231" s="33"/>
      <c r="Z231" s="33"/>
      <c r="AA231" s="33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3"/>
      <c r="W232" s="33"/>
      <c r="X232" s="33"/>
      <c r="Y232" s="33"/>
      <c r="Z232" s="33"/>
      <c r="AA232" s="33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3"/>
      <c r="W233" s="33"/>
      <c r="X233" s="33"/>
      <c r="Y233" s="33"/>
      <c r="Z233" s="33"/>
      <c r="AA233" s="33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3"/>
      <c r="W234" s="33"/>
      <c r="X234" s="33"/>
      <c r="Y234" s="33"/>
      <c r="Z234" s="33"/>
      <c r="AA234" s="33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/>
      <c r="V235" s="33"/>
      <c r="W235" s="33"/>
      <c r="X235" s="33"/>
      <c r="Y235" s="33"/>
      <c r="Z235" s="33"/>
      <c r="AA235" s="33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3"/>
      <c r="V236" s="33"/>
      <c r="W236" s="33"/>
      <c r="X236" s="33"/>
      <c r="Y236" s="33"/>
      <c r="Z236" s="33"/>
      <c r="AA236" s="33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3"/>
      <c r="V237" s="33"/>
      <c r="W237" s="33"/>
      <c r="X237" s="33"/>
      <c r="Y237" s="33"/>
      <c r="Z237" s="33"/>
      <c r="AA237" s="33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3"/>
      <c r="V238" s="33"/>
      <c r="W238" s="33"/>
      <c r="X238" s="33"/>
      <c r="Y238" s="33"/>
      <c r="Z238" s="33"/>
      <c r="AA238" s="33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3"/>
      <c r="V239" s="33"/>
      <c r="W239" s="33"/>
      <c r="X239" s="33"/>
      <c r="Y239" s="33"/>
      <c r="Z239" s="33"/>
      <c r="AA239" s="33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3"/>
      <c r="V240" s="33"/>
      <c r="W240" s="33"/>
      <c r="X240" s="33"/>
      <c r="Y240" s="33"/>
      <c r="Z240" s="33"/>
      <c r="AA240" s="33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3"/>
      <c r="V241" s="33"/>
      <c r="W241" s="33"/>
      <c r="X241" s="33"/>
      <c r="Y241" s="33"/>
      <c r="Z241" s="33"/>
      <c r="AA241" s="33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3"/>
      <c r="V242" s="33"/>
      <c r="W242" s="33"/>
      <c r="X242" s="33"/>
      <c r="Y242" s="33"/>
      <c r="Z242" s="33"/>
      <c r="AA242" s="33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3"/>
      <c r="V243" s="33"/>
      <c r="W243" s="33"/>
      <c r="X243" s="33"/>
      <c r="Y243" s="33"/>
      <c r="Z243" s="33"/>
      <c r="AA243" s="33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3"/>
      <c r="V244" s="33"/>
      <c r="W244" s="33"/>
      <c r="X244" s="33"/>
      <c r="Y244" s="33"/>
      <c r="Z244" s="33"/>
      <c r="AA244" s="33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3"/>
      <c r="V245" s="33"/>
      <c r="W245" s="33"/>
      <c r="X245" s="33"/>
      <c r="Y245" s="33"/>
      <c r="Z245" s="33"/>
      <c r="AA245" s="33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3"/>
      <c r="V246" s="33"/>
      <c r="W246" s="33"/>
      <c r="X246" s="33"/>
      <c r="Y246" s="33"/>
      <c r="Z246" s="33"/>
      <c r="AA246" s="33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3"/>
      <c r="V247" s="33"/>
      <c r="W247" s="33"/>
      <c r="X247" s="33"/>
      <c r="Y247" s="33"/>
      <c r="Z247" s="33"/>
      <c r="AA247" s="33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3"/>
      <c r="V248" s="33"/>
      <c r="W248" s="33"/>
      <c r="X248" s="33"/>
      <c r="Y248" s="33"/>
      <c r="Z248" s="33"/>
      <c r="AA248" s="33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3"/>
      <c r="V249" s="33"/>
      <c r="W249" s="33"/>
      <c r="X249" s="33"/>
      <c r="Y249" s="33"/>
      <c r="Z249" s="33"/>
      <c r="AA249" s="33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3"/>
      <c r="V250" s="33"/>
      <c r="W250" s="33"/>
      <c r="X250" s="33"/>
      <c r="Y250" s="33"/>
      <c r="Z250" s="33"/>
      <c r="AA250" s="33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3"/>
      <c r="V251" s="33"/>
      <c r="W251" s="33"/>
      <c r="X251" s="33"/>
      <c r="Y251" s="33"/>
      <c r="Z251" s="33"/>
      <c r="AA251" s="33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3"/>
      <c r="V252" s="33"/>
      <c r="W252" s="33"/>
      <c r="X252" s="33"/>
      <c r="Y252" s="33"/>
      <c r="Z252" s="33"/>
      <c r="AA252" s="33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3"/>
      <c r="V253" s="33"/>
      <c r="W253" s="33"/>
      <c r="X253" s="33"/>
      <c r="Y253" s="33"/>
      <c r="Z253" s="33"/>
      <c r="AA253" s="33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3"/>
      <c r="V254" s="33"/>
      <c r="W254" s="33"/>
      <c r="X254" s="33"/>
      <c r="Y254" s="33"/>
      <c r="Z254" s="33"/>
      <c r="AA254" s="33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3"/>
      <c r="V255" s="33"/>
      <c r="W255" s="33"/>
      <c r="X255" s="33"/>
      <c r="Y255" s="33"/>
      <c r="Z255" s="33"/>
      <c r="AA255" s="33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3"/>
      <c r="V256" s="33"/>
      <c r="W256" s="33"/>
      <c r="X256" s="33"/>
      <c r="Y256" s="33"/>
      <c r="Z256" s="33"/>
      <c r="AA256" s="33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3"/>
      <c r="V257" s="33"/>
      <c r="W257" s="33"/>
      <c r="X257" s="33"/>
      <c r="Y257" s="33"/>
      <c r="Z257" s="33"/>
      <c r="AA257" s="33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3"/>
      <c r="V258" s="33"/>
      <c r="W258" s="33"/>
      <c r="X258" s="33"/>
      <c r="Y258" s="33"/>
      <c r="Z258" s="33"/>
      <c r="AA258" s="33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3"/>
      <c r="V259" s="33"/>
      <c r="W259" s="33"/>
      <c r="X259" s="33"/>
      <c r="Y259" s="33"/>
      <c r="Z259" s="33"/>
      <c r="AA259" s="33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3"/>
      <c r="V260" s="33"/>
      <c r="W260" s="33"/>
      <c r="X260" s="33"/>
      <c r="Y260" s="33"/>
      <c r="Z260" s="33"/>
      <c r="AA260" s="33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3"/>
      <c r="V261" s="33"/>
      <c r="W261" s="33"/>
      <c r="X261" s="33"/>
      <c r="Y261" s="33"/>
      <c r="Z261" s="33"/>
      <c r="AA261" s="33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3"/>
      <c r="V262" s="33"/>
      <c r="W262" s="33"/>
      <c r="X262" s="33"/>
      <c r="Y262" s="33"/>
      <c r="Z262" s="33"/>
      <c r="AA262" s="33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3"/>
      <c r="V263" s="33"/>
      <c r="W263" s="33"/>
      <c r="X263" s="33"/>
      <c r="Y263" s="33"/>
      <c r="Z263" s="33"/>
      <c r="AA263" s="33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3"/>
      <c r="V264" s="33"/>
      <c r="W264" s="33"/>
      <c r="X264" s="33"/>
      <c r="Y264" s="33"/>
      <c r="Z264" s="33"/>
      <c r="AA264" s="33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3"/>
      <c r="V265" s="33"/>
      <c r="W265" s="33"/>
      <c r="X265" s="33"/>
      <c r="Y265" s="33"/>
      <c r="Z265" s="33"/>
      <c r="AA265" s="33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3"/>
      <c r="V266" s="33"/>
      <c r="W266" s="33"/>
      <c r="X266" s="33"/>
      <c r="Y266" s="33"/>
      <c r="Z266" s="33"/>
      <c r="AA266" s="33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3"/>
      <c r="V267" s="33"/>
      <c r="W267" s="33"/>
      <c r="X267" s="33"/>
      <c r="Y267" s="33"/>
      <c r="Z267" s="33"/>
      <c r="AA267" s="33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3"/>
      <c r="V268" s="33"/>
      <c r="W268" s="33"/>
      <c r="X268" s="33"/>
      <c r="Y268" s="33"/>
      <c r="Z268" s="33"/>
      <c r="AA268" s="33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3"/>
      <c r="V269" s="33"/>
      <c r="W269" s="33"/>
      <c r="X269" s="33"/>
      <c r="Y269" s="33"/>
      <c r="Z269" s="33"/>
      <c r="AA269" s="33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3"/>
      <c r="V270" s="33"/>
      <c r="W270" s="33"/>
      <c r="X270" s="33"/>
      <c r="Y270" s="33"/>
      <c r="Z270" s="33"/>
      <c r="AA270" s="33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3"/>
      <c r="V271" s="33"/>
      <c r="W271" s="33"/>
      <c r="X271" s="33"/>
      <c r="Y271" s="33"/>
      <c r="Z271" s="33"/>
      <c r="AA271" s="33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3"/>
      <c r="V272" s="33"/>
      <c r="W272" s="33"/>
      <c r="X272" s="33"/>
      <c r="Y272" s="33"/>
      <c r="Z272" s="33"/>
      <c r="AA272" s="33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3"/>
      <c r="V273" s="33"/>
      <c r="W273" s="33"/>
      <c r="X273" s="33"/>
      <c r="Y273" s="33"/>
      <c r="Z273" s="33"/>
      <c r="AA273" s="33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3"/>
      <c r="V274" s="33"/>
      <c r="W274" s="33"/>
      <c r="X274" s="33"/>
      <c r="Y274" s="33"/>
      <c r="Z274" s="33"/>
      <c r="AA274" s="33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3"/>
      <c r="V275" s="33"/>
      <c r="W275" s="33"/>
      <c r="X275" s="33"/>
      <c r="Y275" s="33"/>
      <c r="Z275" s="33"/>
      <c r="AA275" s="33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3"/>
      <c r="V276" s="33"/>
      <c r="W276" s="33"/>
      <c r="X276" s="33"/>
      <c r="Y276" s="33"/>
      <c r="Z276" s="33"/>
      <c r="AA276" s="33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3"/>
      <c r="V277" s="33"/>
      <c r="W277" s="33"/>
      <c r="X277" s="33"/>
      <c r="Y277" s="33"/>
      <c r="Z277" s="33"/>
      <c r="AA277" s="33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3"/>
      <c r="V278" s="33"/>
      <c r="W278" s="33"/>
      <c r="X278" s="33"/>
      <c r="Y278" s="33"/>
      <c r="Z278" s="33"/>
      <c r="AA278" s="33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3"/>
      <c r="V279" s="33"/>
      <c r="W279" s="33"/>
      <c r="X279" s="33"/>
      <c r="Y279" s="33"/>
      <c r="Z279" s="33"/>
      <c r="AA279" s="33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3"/>
      <c r="V280" s="33"/>
      <c r="W280" s="33"/>
      <c r="X280" s="33"/>
      <c r="Y280" s="33"/>
      <c r="Z280" s="33"/>
      <c r="AA280" s="33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3"/>
      <c r="V281" s="33"/>
      <c r="W281" s="33"/>
      <c r="X281" s="33"/>
      <c r="Y281" s="33"/>
      <c r="Z281" s="33"/>
      <c r="AA281" s="33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3"/>
      <c r="V282" s="33"/>
      <c r="W282" s="33"/>
      <c r="X282" s="33"/>
      <c r="Y282" s="33"/>
      <c r="Z282" s="33"/>
      <c r="AA282" s="33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3"/>
      <c r="V283" s="33"/>
      <c r="W283" s="33"/>
      <c r="X283" s="33"/>
      <c r="Y283" s="33"/>
      <c r="Z283" s="33"/>
      <c r="AA283" s="33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3"/>
      <c r="V284" s="33"/>
      <c r="W284" s="33"/>
      <c r="X284" s="33"/>
      <c r="Y284" s="33"/>
      <c r="Z284" s="33"/>
      <c r="AA284" s="33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3"/>
      <c r="V285" s="33"/>
      <c r="W285" s="33"/>
      <c r="X285" s="33"/>
      <c r="Y285" s="33"/>
      <c r="Z285" s="33"/>
      <c r="AA285" s="33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3"/>
      <c r="V286" s="33"/>
      <c r="W286" s="33"/>
      <c r="X286" s="33"/>
      <c r="Y286" s="33"/>
      <c r="Z286" s="33"/>
      <c r="AA286" s="33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3"/>
      <c r="V287" s="33"/>
      <c r="W287" s="33"/>
      <c r="X287" s="33"/>
      <c r="Y287" s="33"/>
      <c r="Z287" s="33"/>
      <c r="AA287" s="33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3"/>
      <c r="V288" s="33"/>
      <c r="W288" s="33"/>
      <c r="X288" s="33"/>
      <c r="Y288" s="33"/>
      <c r="Z288" s="33"/>
      <c r="AA288" s="33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3"/>
      <c r="V289" s="33"/>
      <c r="W289" s="33"/>
      <c r="X289" s="33"/>
      <c r="Y289" s="33"/>
      <c r="Z289" s="33"/>
      <c r="AA289" s="33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3"/>
      <c r="V290" s="33"/>
      <c r="W290" s="33"/>
      <c r="X290" s="33"/>
      <c r="Y290" s="33"/>
      <c r="Z290" s="33"/>
      <c r="AA290" s="33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3"/>
      <c r="V291" s="33"/>
      <c r="W291" s="33"/>
      <c r="X291" s="33"/>
      <c r="Y291" s="33"/>
      <c r="Z291" s="33"/>
      <c r="AA291" s="33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3"/>
      <c r="V292" s="33"/>
      <c r="W292" s="33"/>
      <c r="X292" s="33"/>
      <c r="Y292" s="33"/>
      <c r="Z292" s="33"/>
      <c r="AA292" s="33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3"/>
      <c r="V293" s="33"/>
      <c r="W293" s="33"/>
      <c r="X293" s="33"/>
      <c r="Y293" s="33"/>
      <c r="Z293" s="33"/>
      <c r="AA293" s="33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3"/>
      <c r="V294" s="33"/>
      <c r="W294" s="33"/>
      <c r="X294" s="33"/>
      <c r="Y294" s="33"/>
      <c r="Z294" s="33"/>
      <c r="AA294" s="33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3"/>
      <c r="V295" s="33"/>
      <c r="W295" s="33"/>
      <c r="X295" s="33"/>
      <c r="Y295" s="33"/>
      <c r="Z295" s="33"/>
      <c r="AA295" s="33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3"/>
      <c r="V296" s="33"/>
      <c r="W296" s="33"/>
      <c r="X296" s="33"/>
      <c r="Y296" s="33"/>
      <c r="Z296" s="33"/>
      <c r="AA296" s="33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3"/>
      <c r="V297" s="33"/>
      <c r="W297" s="33"/>
      <c r="X297" s="33"/>
      <c r="Y297" s="33"/>
      <c r="Z297" s="33"/>
      <c r="AA297" s="33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3"/>
      <c r="V298" s="33"/>
      <c r="W298" s="33"/>
      <c r="X298" s="33"/>
      <c r="Y298" s="33"/>
      <c r="Z298" s="33"/>
      <c r="AA298" s="33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3"/>
      <c r="V299" s="33"/>
      <c r="W299" s="33"/>
      <c r="X299" s="33"/>
      <c r="Y299" s="33"/>
      <c r="Z299" s="33"/>
      <c r="AA299" s="33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3"/>
      <c r="V300" s="33"/>
      <c r="W300" s="33"/>
      <c r="X300" s="33"/>
      <c r="Y300" s="33"/>
      <c r="Z300" s="33"/>
      <c r="AA300" s="33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3"/>
      <c r="V301" s="33"/>
      <c r="W301" s="33"/>
      <c r="X301" s="33"/>
      <c r="Y301" s="33"/>
      <c r="Z301" s="33"/>
      <c r="AA301" s="33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3"/>
      <c r="V302" s="33"/>
      <c r="W302" s="33"/>
      <c r="X302" s="33"/>
      <c r="Y302" s="33"/>
      <c r="Z302" s="33"/>
      <c r="AA302" s="33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3"/>
      <c r="V303" s="33"/>
      <c r="W303" s="33"/>
      <c r="X303" s="33"/>
      <c r="Y303" s="33"/>
      <c r="Z303" s="33"/>
      <c r="AA303" s="33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3"/>
      <c r="V304" s="33"/>
      <c r="W304" s="33"/>
      <c r="X304" s="33"/>
      <c r="Y304" s="33"/>
      <c r="Z304" s="33"/>
      <c r="AA304" s="33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3"/>
      <c r="V305" s="33"/>
      <c r="W305" s="33"/>
      <c r="X305" s="33"/>
      <c r="Y305" s="33"/>
      <c r="Z305" s="33"/>
      <c r="AA305" s="33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3"/>
      <c r="V306" s="33"/>
      <c r="W306" s="33"/>
      <c r="X306" s="33"/>
      <c r="Y306" s="33"/>
      <c r="Z306" s="33"/>
      <c r="AA306" s="33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3"/>
      <c r="V307" s="33"/>
      <c r="W307" s="33"/>
      <c r="X307" s="33"/>
      <c r="Y307" s="33"/>
      <c r="Z307" s="33"/>
      <c r="AA307" s="33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3"/>
      <c r="V308" s="33"/>
      <c r="W308" s="33"/>
      <c r="X308" s="33"/>
      <c r="Y308" s="33"/>
      <c r="Z308" s="33"/>
      <c r="AA308" s="33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3"/>
      <c r="V309" s="33"/>
      <c r="W309" s="33"/>
      <c r="X309" s="33"/>
      <c r="Y309" s="33"/>
      <c r="Z309" s="33"/>
      <c r="AA309" s="33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3"/>
      <c r="V310" s="33"/>
      <c r="W310" s="33"/>
      <c r="X310" s="33"/>
      <c r="Y310" s="33"/>
      <c r="Z310" s="33"/>
      <c r="AA310" s="33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3"/>
      <c r="V311" s="33"/>
      <c r="W311" s="33"/>
      <c r="X311" s="33"/>
      <c r="Y311" s="33"/>
      <c r="Z311" s="33"/>
      <c r="AA311" s="33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3"/>
      <c r="V312" s="33"/>
      <c r="W312" s="33"/>
      <c r="X312" s="33"/>
      <c r="Y312" s="33"/>
      <c r="Z312" s="33"/>
      <c r="AA312" s="33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3"/>
      <c r="V313" s="33"/>
      <c r="W313" s="33"/>
      <c r="X313" s="33"/>
      <c r="Y313" s="33"/>
      <c r="Z313" s="33"/>
      <c r="AA313" s="33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3"/>
      <c r="V314" s="33"/>
      <c r="W314" s="33"/>
      <c r="X314" s="33"/>
      <c r="Y314" s="33"/>
      <c r="Z314" s="33"/>
      <c r="AA314" s="33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3"/>
      <c r="V315" s="33"/>
      <c r="W315" s="33"/>
      <c r="X315" s="33"/>
      <c r="Y315" s="33"/>
      <c r="Z315" s="33"/>
      <c r="AA315" s="33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3"/>
      <c r="V316" s="33"/>
      <c r="W316" s="33"/>
      <c r="X316" s="33"/>
      <c r="Y316" s="33"/>
      <c r="Z316" s="33"/>
      <c r="AA316" s="33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3"/>
      <c r="V317" s="33"/>
      <c r="W317" s="33"/>
      <c r="X317" s="33"/>
      <c r="Y317" s="33"/>
      <c r="Z317" s="33"/>
      <c r="AA317" s="33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3"/>
      <c r="V318" s="33"/>
      <c r="W318" s="33"/>
      <c r="X318" s="33"/>
      <c r="Y318" s="33"/>
      <c r="Z318" s="33"/>
      <c r="AA318" s="33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3"/>
      <c r="V319" s="33"/>
      <c r="W319" s="33"/>
      <c r="X319" s="33"/>
      <c r="Y319" s="33"/>
      <c r="Z319" s="33"/>
      <c r="AA319" s="33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3"/>
      <c r="V320" s="33"/>
      <c r="W320" s="33"/>
      <c r="X320" s="33"/>
      <c r="Y320" s="33"/>
      <c r="Z320" s="33"/>
      <c r="AA320" s="33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3"/>
      <c r="V321" s="33"/>
      <c r="W321" s="33"/>
      <c r="X321" s="33"/>
      <c r="Y321" s="33"/>
      <c r="Z321" s="33"/>
      <c r="AA321" s="33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3"/>
      <c r="V322" s="33"/>
      <c r="W322" s="33"/>
      <c r="X322" s="33"/>
      <c r="Y322" s="33"/>
      <c r="Z322" s="33"/>
      <c r="AA322" s="33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3"/>
      <c r="V323" s="33"/>
      <c r="W323" s="33"/>
      <c r="X323" s="33"/>
      <c r="Y323" s="33"/>
      <c r="Z323" s="33"/>
      <c r="AA323" s="33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3"/>
      <c r="V324" s="33"/>
      <c r="W324" s="33"/>
      <c r="X324" s="33"/>
      <c r="Y324" s="33"/>
      <c r="Z324" s="33"/>
      <c r="AA324" s="33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3"/>
      <c r="V325" s="33"/>
      <c r="W325" s="33"/>
      <c r="X325" s="33"/>
      <c r="Y325" s="33"/>
      <c r="Z325" s="33"/>
      <c r="AA325" s="33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3"/>
      <c r="V326" s="33"/>
      <c r="W326" s="33"/>
      <c r="X326" s="33"/>
      <c r="Y326" s="33"/>
      <c r="Z326" s="33"/>
      <c r="AA326" s="33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3"/>
      <c r="V327" s="33"/>
      <c r="W327" s="33"/>
      <c r="X327" s="33"/>
      <c r="Y327" s="33"/>
      <c r="Z327" s="33"/>
      <c r="AA327" s="33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3"/>
      <c r="V328" s="33"/>
      <c r="W328" s="33"/>
      <c r="X328" s="33"/>
      <c r="Y328" s="33"/>
      <c r="Z328" s="33"/>
      <c r="AA328" s="33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3"/>
      <c r="V329" s="33"/>
      <c r="W329" s="33"/>
      <c r="X329" s="33"/>
      <c r="Y329" s="33"/>
      <c r="Z329" s="33"/>
      <c r="AA329" s="33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3"/>
      <c r="V330" s="33"/>
      <c r="W330" s="33"/>
      <c r="X330" s="33"/>
      <c r="Y330" s="33"/>
      <c r="Z330" s="33"/>
      <c r="AA330" s="33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3"/>
      <c r="V331" s="33"/>
      <c r="W331" s="33"/>
      <c r="X331" s="33"/>
      <c r="Y331" s="33"/>
      <c r="Z331" s="33"/>
      <c r="AA331" s="33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3"/>
      <c r="V332" s="33"/>
      <c r="W332" s="33"/>
      <c r="X332" s="33"/>
      <c r="Y332" s="33"/>
      <c r="Z332" s="33"/>
      <c r="AA332" s="33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3"/>
      <c r="V333" s="33"/>
      <c r="W333" s="33"/>
      <c r="X333" s="33"/>
      <c r="Y333" s="33"/>
      <c r="Z333" s="33"/>
      <c r="AA333" s="33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3"/>
      <c r="V334" s="33"/>
      <c r="W334" s="33"/>
      <c r="X334" s="33"/>
      <c r="Y334" s="33"/>
      <c r="Z334" s="33"/>
      <c r="AA334" s="33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3"/>
      <c r="V335" s="33"/>
      <c r="W335" s="33"/>
      <c r="X335" s="33"/>
      <c r="Y335" s="33"/>
      <c r="Z335" s="33"/>
      <c r="AA335" s="33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3"/>
      <c r="V336" s="33"/>
      <c r="W336" s="33"/>
      <c r="X336" s="33"/>
      <c r="Y336" s="33"/>
      <c r="Z336" s="33"/>
      <c r="AA336" s="33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3"/>
      <c r="V337" s="33"/>
      <c r="W337" s="33"/>
      <c r="X337" s="33"/>
      <c r="Y337" s="33"/>
      <c r="Z337" s="33"/>
      <c r="AA337" s="33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3"/>
      <c r="V338" s="33"/>
      <c r="W338" s="33"/>
      <c r="X338" s="33"/>
      <c r="Y338" s="33"/>
      <c r="Z338" s="33"/>
      <c r="AA338" s="33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3"/>
      <c r="V339" s="33"/>
      <c r="W339" s="33"/>
      <c r="X339" s="33"/>
      <c r="Y339" s="33"/>
      <c r="Z339" s="33"/>
      <c r="AA339" s="33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3"/>
      <c r="V340" s="33"/>
      <c r="W340" s="33"/>
      <c r="X340" s="33"/>
      <c r="Y340" s="33"/>
      <c r="Z340" s="33"/>
      <c r="AA340" s="33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3"/>
      <c r="V341" s="33"/>
      <c r="W341" s="33"/>
      <c r="X341" s="33"/>
      <c r="Y341" s="33"/>
      <c r="Z341" s="33"/>
      <c r="AA341" s="33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3"/>
      <c r="V342" s="33"/>
      <c r="W342" s="33"/>
      <c r="X342" s="33"/>
      <c r="Y342" s="33"/>
      <c r="Z342" s="33"/>
      <c r="AA342" s="33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3"/>
      <c r="V343" s="33"/>
      <c r="W343" s="33"/>
      <c r="X343" s="33"/>
      <c r="Y343" s="33"/>
      <c r="Z343" s="33"/>
      <c r="AA343" s="33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3"/>
      <c r="V344" s="33"/>
      <c r="W344" s="33"/>
      <c r="X344" s="33"/>
      <c r="Y344" s="33"/>
      <c r="Z344" s="33"/>
      <c r="AA344" s="33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3"/>
      <c r="V345" s="33"/>
      <c r="W345" s="33"/>
      <c r="X345" s="33"/>
      <c r="Y345" s="33"/>
      <c r="Z345" s="33"/>
      <c r="AA345" s="33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3"/>
      <c r="V346" s="33"/>
      <c r="W346" s="33"/>
      <c r="X346" s="33"/>
      <c r="Y346" s="33"/>
      <c r="Z346" s="33"/>
      <c r="AA346" s="33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3"/>
      <c r="V347" s="33"/>
      <c r="W347" s="33"/>
      <c r="X347" s="33"/>
      <c r="Y347" s="33"/>
      <c r="Z347" s="33"/>
      <c r="AA347" s="33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3"/>
      <c r="V348" s="33"/>
      <c r="W348" s="33"/>
      <c r="X348" s="33"/>
      <c r="Y348" s="33"/>
      <c r="Z348" s="33"/>
      <c r="AA348" s="33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3"/>
      <c r="V349" s="33"/>
      <c r="W349" s="33"/>
      <c r="X349" s="33"/>
      <c r="Y349" s="33"/>
      <c r="Z349" s="33"/>
      <c r="AA349" s="33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3"/>
      <c r="V350" s="33"/>
      <c r="W350" s="33"/>
      <c r="X350" s="33"/>
      <c r="Y350" s="33"/>
      <c r="Z350" s="33"/>
      <c r="AA350" s="33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3"/>
      <c r="V351" s="33"/>
      <c r="W351" s="33"/>
      <c r="X351" s="33"/>
      <c r="Y351" s="33"/>
      <c r="Z351" s="33"/>
      <c r="AA351" s="33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3"/>
      <c r="V352" s="33"/>
      <c r="W352" s="33"/>
      <c r="X352" s="33"/>
      <c r="Y352" s="33"/>
      <c r="Z352" s="33"/>
      <c r="AA352" s="33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3"/>
      <c r="V353" s="33"/>
      <c r="W353" s="33"/>
      <c r="X353" s="33"/>
      <c r="Y353" s="33"/>
      <c r="Z353" s="33"/>
      <c r="AA353" s="33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3"/>
      <c r="V354" s="33"/>
      <c r="W354" s="33"/>
      <c r="X354" s="33"/>
      <c r="Y354" s="33"/>
      <c r="Z354" s="33"/>
      <c r="AA354" s="33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3"/>
      <c r="V355" s="33"/>
      <c r="W355" s="33"/>
      <c r="X355" s="33"/>
      <c r="Y355" s="33"/>
      <c r="Z355" s="33"/>
      <c r="AA355" s="33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3"/>
      <c r="V356" s="33"/>
      <c r="W356" s="33"/>
      <c r="X356" s="33"/>
      <c r="Y356" s="33"/>
      <c r="Z356" s="33"/>
      <c r="AA356" s="33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3"/>
      <c r="V357" s="33"/>
      <c r="W357" s="33"/>
      <c r="X357" s="33"/>
      <c r="Y357" s="33"/>
      <c r="Z357" s="33"/>
      <c r="AA357" s="33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3"/>
      <c r="V358" s="33"/>
      <c r="W358" s="33"/>
      <c r="X358" s="33"/>
      <c r="Y358" s="33"/>
      <c r="Z358" s="33"/>
      <c r="AA358" s="33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3"/>
      <c r="V359" s="33"/>
      <c r="W359" s="33"/>
      <c r="X359" s="33"/>
      <c r="Y359" s="33"/>
      <c r="Z359" s="33"/>
      <c r="AA359" s="33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3"/>
      <c r="V360" s="33"/>
      <c r="W360" s="33"/>
      <c r="X360" s="33"/>
      <c r="Y360" s="33"/>
      <c r="Z360" s="33"/>
      <c r="AA360" s="33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3"/>
      <c r="V361" s="33"/>
      <c r="W361" s="33"/>
      <c r="X361" s="33"/>
      <c r="Y361" s="33"/>
      <c r="Z361" s="33"/>
      <c r="AA361" s="33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3"/>
      <c r="V362" s="33"/>
      <c r="W362" s="33"/>
      <c r="X362" s="33"/>
      <c r="Y362" s="33"/>
      <c r="Z362" s="33"/>
      <c r="AA362" s="33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3"/>
      <c r="V363" s="33"/>
      <c r="W363" s="33"/>
      <c r="X363" s="33"/>
      <c r="Y363" s="33"/>
      <c r="Z363" s="33"/>
      <c r="AA363" s="33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3"/>
      <c r="V364" s="33"/>
      <c r="W364" s="33"/>
      <c r="X364" s="33"/>
      <c r="Y364" s="33"/>
      <c r="Z364" s="33"/>
      <c r="AA364" s="33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3"/>
      <c r="V365" s="33"/>
      <c r="W365" s="33"/>
      <c r="X365" s="33"/>
      <c r="Y365" s="33"/>
      <c r="Z365" s="33"/>
      <c r="AA365" s="33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3"/>
      <c r="V366" s="33"/>
      <c r="W366" s="33"/>
      <c r="X366" s="33"/>
      <c r="Y366" s="33"/>
      <c r="Z366" s="33"/>
      <c r="AA366" s="33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3"/>
      <c r="V367" s="33"/>
      <c r="W367" s="33"/>
      <c r="X367" s="33"/>
      <c r="Y367" s="33"/>
      <c r="Z367" s="33"/>
      <c r="AA367" s="33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3"/>
      <c r="V368" s="33"/>
      <c r="W368" s="33"/>
      <c r="X368" s="33"/>
      <c r="Y368" s="33"/>
      <c r="Z368" s="33"/>
      <c r="AA368" s="33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3"/>
      <c r="V369" s="33"/>
      <c r="W369" s="33"/>
      <c r="X369" s="33"/>
      <c r="Y369" s="33"/>
      <c r="Z369" s="33"/>
      <c r="AA369" s="33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3"/>
      <c r="V370" s="33"/>
      <c r="W370" s="33"/>
      <c r="X370" s="33"/>
      <c r="Y370" s="33"/>
      <c r="Z370" s="33"/>
      <c r="AA370" s="33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3"/>
      <c r="V371" s="33"/>
      <c r="W371" s="33"/>
      <c r="X371" s="33"/>
      <c r="Y371" s="33"/>
      <c r="Z371" s="33"/>
      <c r="AA371" s="33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3"/>
      <c r="V372" s="33"/>
      <c r="W372" s="33"/>
      <c r="X372" s="33"/>
      <c r="Y372" s="33"/>
      <c r="Z372" s="33"/>
      <c r="AA372" s="33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3"/>
      <c r="V373" s="33"/>
      <c r="W373" s="33"/>
      <c r="X373" s="33"/>
      <c r="Y373" s="33"/>
      <c r="Z373" s="33"/>
      <c r="AA373" s="33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3"/>
      <c r="V374" s="33"/>
      <c r="W374" s="33"/>
      <c r="X374" s="33"/>
      <c r="Y374" s="33"/>
      <c r="Z374" s="33"/>
      <c r="AA374" s="33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3"/>
      <c r="V375" s="33"/>
      <c r="W375" s="33"/>
      <c r="X375" s="33"/>
      <c r="Y375" s="33"/>
      <c r="Z375" s="33"/>
      <c r="AA375" s="33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3"/>
      <c r="V376" s="33"/>
      <c r="W376" s="33"/>
      <c r="X376" s="33"/>
      <c r="Y376" s="33"/>
      <c r="Z376" s="33"/>
      <c r="AA376" s="33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3"/>
      <c r="V377" s="33"/>
      <c r="W377" s="33"/>
      <c r="X377" s="33"/>
      <c r="Y377" s="33"/>
      <c r="Z377" s="33"/>
      <c r="AA377" s="33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3"/>
      <c r="V378" s="33"/>
      <c r="W378" s="33"/>
      <c r="X378" s="33"/>
      <c r="Y378" s="33"/>
      <c r="Z378" s="33"/>
      <c r="AA378" s="33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3"/>
      <c r="V379" s="33"/>
      <c r="W379" s="33"/>
      <c r="X379" s="33"/>
      <c r="Y379" s="33"/>
      <c r="Z379" s="33"/>
      <c r="AA379" s="33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3"/>
      <c r="V380" s="33"/>
      <c r="W380" s="33"/>
      <c r="X380" s="33"/>
      <c r="Y380" s="33"/>
      <c r="Z380" s="33"/>
      <c r="AA380" s="33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3"/>
      <c r="V381" s="33"/>
      <c r="W381" s="33"/>
      <c r="X381" s="33"/>
      <c r="Y381" s="33"/>
      <c r="Z381" s="33"/>
      <c r="AA381" s="33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3"/>
      <c r="V382" s="33"/>
      <c r="W382" s="33"/>
      <c r="X382" s="33"/>
      <c r="Y382" s="33"/>
      <c r="Z382" s="33"/>
      <c r="AA382" s="33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3"/>
      <c r="V383" s="33"/>
      <c r="W383" s="33"/>
      <c r="X383" s="33"/>
      <c r="Y383" s="33"/>
      <c r="Z383" s="33"/>
      <c r="AA383" s="33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3"/>
      <c r="V384" s="33"/>
      <c r="W384" s="33"/>
      <c r="X384" s="33"/>
      <c r="Y384" s="33"/>
      <c r="Z384" s="33"/>
      <c r="AA384" s="33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3"/>
      <c r="V385" s="33"/>
      <c r="W385" s="33"/>
      <c r="X385" s="33"/>
      <c r="Y385" s="33"/>
      <c r="Z385" s="33"/>
      <c r="AA385" s="33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3"/>
      <c r="V386" s="33"/>
      <c r="W386" s="33"/>
      <c r="X386" s="33"/>
      <c r="Y386" s="33"/>
      <c r="Z386" s="33"/>
      <c r="AA386" s="33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3"/>
      <c r="V387" s="33"/>
      <c r="W387" s="33"/>
      <c r="X387" s="33"/>
      <c r="Y387" s="33"/>
      <c r="Z387" s="33"/>
      <c r="AA387" s="33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3"/>
      <c r="V388" s="33"/>
      <c r="W388" s="33"/>
      <c r="X388" s="33"/>
      <c r="Y388" s="33"/>
      <c r="Z388" s="33"/>
      <c r="AA388" s="33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3"/>
      <c r="V389" s="33"/>
      <c r="W389" s="33"/>
      <c r="X389" s="33"/>
      <c r="Y389" s="33"/>
      <c r="Z389" s="33"/>
      <c r="AA389" s="33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3"/>
      <c r="V390" s="33"/>
      <c r="W390" s="33"/>
      <c r="X390" s="33"/>
      <c r="Y390" s="33"/>
      <c r="Z390" s="33"/>
      <c r="AA390" s="33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3"/>
      <c r="V391" s="33"/>
      <c r="W391" s="33"/>
      <c r="X391" s="33"/>
      <c r="Y391" s="33"/>
      <c r="Z391" s="33"/>
      <c r="AA391" s="33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3"/>
      <c r="V392" s="33"/>
      <c r="W392" s="33"/>
      <c r="X392" s="33"/>
      <c r="Y392" s="33"/>
      <c r="Z392" s="33"/>
      <c r="AA392" s="33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3"/>
      <c r="V393" s="33"/>
      <c r="W393" s="33"/>
      <c r="X393" s="33"/>
      <c r="Y393" s="33"/>
      <c r="Z393" s="33"/>
      <c r="AA393" s="33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3"/>
      <c r="V394" s="33"/>
      <c r="W394" s="33"/>
      <c r="X394" s="33"/>
      <c r="Y394" s="33"/>
      <c r="Z394" s="33"/>
      <c r="AA394" s="33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3"/>
      <c r="V395" s="33"/>
      <c r="W395" s="33"/>
      <c r="X395" s="33"/>
      <c r="Y395" s="33"/>
      <c r="Z395" s="33"/>
      <c r="AA395" s="33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3"/>
      <c r="V396" s="33"/>
      <c r="W396" s="33"/>
      <c r="X396" s="33"/>
      <c r="Y396" s="33"/>
      <c r="Z396" s="33"/>
      <c r="AA396" s="33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3"/>
      <c r="V397" s="33"/>
      <c r="W397" s="33"/>
      <c r="X397" s="33"/>
      <c r="Y397" s="33"/>
      <c r="Z397" s="33"/>
      <c r="AA397" s="33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3"/>
      <c r="V398" s="33"/>
      <c r="W398" s="33"/>
      <c r="X398" s="33"/>
      <c r="Y398" s="33"/>
      <c r="Z398" s="33"/>
      <c r="AA398" s="33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3"/>
      <c r="V399" s="33"/>
      <c r="W399" s="33"/>
      <c r="X399" s="33"/>
      <c r="Y399" s="33"/>
      <c r="Z399" s="33"/>
      <c r="AA399" s="33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3"/>
      <c r="V400" s="33"/>
      <c r="W400" s="33"/>
      <c r="X400" s="33"/>
      <c r="Y400" s="33"/>
      <c r="Z400" s="33"/>
      <c r="AA400" s="33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3"/>
      <c r="V401" s="33"/>
      <c r="W401" s="33"/>
      <c r="X401" s="33"/>
      <c r="Y401" s="33"/>
      <c r="Z401" s="33"/>
      <c r="AA401" s="33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3"/>
      <c r="V402" s="33"/>
      <c r="W402" s="33"/>
      <c r="X402" s="33"/>
      <c r="Y402" s="33"/>
      <c r="Z402" s="33"/>
      <c r="AA402" s="33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3"/>
      <c r="V403" s="33"/>
      <c r="W403" s="33"/>
      <c r="X403" s="33"/>
      <c r="Y403" s="33"/>
      <c r="Z403" s="33"/>
      <c r="AA403" s="33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3"/>
      <c r="V404" s="33"/>
      <c r="W404" s="33"/>
      <c r="X404" s="33"/>
      <c r="Y404" s="33"/>
      <c r="Z404" s="33"/>
      <c r="AA404" s="33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3"/>
      <c r="V405" s="33"/>
      <c r="W405" s="33"/>
      <c r="X405" s="33"/>
      <c r="Y405" s="33"/>
      <c r="Z405" s="33"/>
      <c r="AA405" s="33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3"/>
      <c r="V406" s="33"/>
      <c r="W406" s="33"/>
      <c r="X406" s="33"/>
      <c r="Y406" s="33"/>
      <c r="Z406" s="33"/>
      <c r="AA406" s="33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3"/>
      <c r="V407" s="33"/>
      <c r="W407" s="33"/>
      <c r="X407" s="33"/>
      <c r="Y407" s="33"/>
      <c r="Z407" s="33"/>
      <c r="AA407" s="33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3"/>
      <c r="V408" s="33"/>
      <c r="W408" s="33"/>
      <c r="X408" s="33"/>
      <c r="Y408" s="33"/>
      <c r="Z408" s="33"/>
      <c r="AA408" s="33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3"/>
      <c r="V409" s="33"/>
      <c r="W409" s="33"/>
      <c r="X409" s="33"/>
      <c r="Y409" s="33"/>
      <c r="Z409" s="33"/>
      <c r="AA409" s="33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3"/>
      <c r="V410" s="33"/>
      <c r="W410" s="33"/>
      <c r="X410" s="33"/>
      <c r="Y410" s="33"/>
      <c r="Z410" s="33"/>
      <c r="AA410" s="33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3"/>
      <c r="V411" s="33"/>
      <c r="W411" s="33"/>
      <c r="X411" s="33"/>
      <c r="Y411" s="33"/>
      <c r="Z411" s="33"/>
      <c r="AA411" s="33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3"/>
      <c r="V412" s="33"/>
      <c r="W412" s="33"/>
      <c r="X412" s="33"/>
      <c r="Y412" s="33"/>
      <c r="Z412" s="33"/>
      <c r="AA412" s="33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3"/>
      <c r="V413" s="33"/>
      <c r="W413" s="33"/>
      <c r="X413" s="33"/>
      <c r="Y413" s="33"/>
      <c r="Z413" s="33"/>
      <c r="AA413" s="33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3"/>
      <c r="V414" s="33"/>
      <c r="W414" s="33"/>
      <c r="X414" s="33"/>
      <c r="Y414" s="33"/>
      <c r="Z414" s="33"/>
      <c r="AA414" s="33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3"/>
      <c r="V415" s="33"/>
      <c r="W415" s="33"/>
      <c r="X415" s="33"/>
      <c r="Y415" s="33"/>
      <c r="Z415" s="33"/>
      <c r="AA415" s="33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3"/>
      <c r="V416" s="33"/>
      <c r="W416" s="33"/>
      <c r="X416" s="33"/>
      <c r="Y416" s="33"/>
      <c r="Z416" s="33"/>
      <c r="AA416" s="33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3"/>
      <c r="V417" s="33"/>
      <c r="W417" s="33"/>
      <c r="X417" s="33"/>
      <c r="Y417" s="33"/>
      <c r="Z417" s="33"/>
      <c r="AA417" s="33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3"/>
      <c r="V418" s="33"/>
      <c r="W418" s="33"/>
      <c r="X418" s="33"/>
      <c r="Y418" s="33"/>
      <c r="Z418" s="33"/>
      <c r="AA418" s="33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3"/>
      <c r="V419" s="33"/>
      <c r="W419" s="33"/>
      <c r="X419" s="33"/>
      <c r="Y419" s="33"/>
      <c r="Z419" s="33"/>
      <c r="AA419" s="33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3"/>
      <c r="V420" s="33"/>
      <c r="W420" s="33"/>
      <c r="X420" s="33"/>
      <c r="Y420" s="33"/>
      <c r="Z420" s="33"/>
      <c r="AA420" s="33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3"/>
      <c r="V421" s="33"/>
      <c r="W421" s="33"/>
      <c r="X421" s="33"/>
      <c r="Y421" s="33"/>
      <c r="Z421" s="33"/>
      <c r="AA421" s="33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3"/>
      <c r="V422" s="33"/>
      <c r="W422" s="33"/>
      <c r="X422" s="33"/>
      <c r="Y422" s="33"/>
      <c r="Z422" s="33"/>
      <c r="AA422" s="33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3"/>
      <c r="V423" s="33"/>
      <c r="W423" s="33"/>
      <c r="X423" s="33"/>
      <c r="Y423" s="33"/>
      <c r="Z423" s="33"/>
      <c r="AA423" s="33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3"/>
      <c r="V424" s="33"/>
      <c r="W424" s="33"/>
      <c r="X424" s="33"/>
      <c r="Y424" s="33"/>
      <c r="Z424" s="33"/>
      <c r="AA424" s="33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3"/>
      <c r="V425" s="33"/>
      <c r="W425" s="33"/>
      <c r="X425" s="33"/>
      <c r="Y425" s="33"/>
      <c r="Z425" s="33"/>
      <c r="AA425" s="33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3"/>
      <c r="V426" s="33"/>
      <c r="W426" s="33"/>
      <c r="X426" s="33"/>
      <c r="Y426" s="33"/>
      <c r="Z426" s="33"/>
      <c r="AA426" s="33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3"/>
      <c r="V427" s="33"/>
      <c r="W427" s="33"/>
      <c r="X427" s="33"/>
      <c r="Y427" s="33"/>
      <c r="Z427" s="33"/>
      <c r="AA427" s="33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3"/>
      <c r="V428" s="33"/>
      <c r="W428" s="33"/>
      <c r="X428" s="33"/>
      <c r="Y428" s="33"/>
      <c r="Z428" s="33"/>
      <c r="AA428" s="33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3"/>
      <c r="V429" s="33"/>
      <c r="W429" s="33"/>
      <c r="X429" s="33"/>
      <c r="Y429" s="33"/>
      <c r="Z429" s="33"/>
      <c r="AA429" s="33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3"/>
      <c r="V430" s="33"/>
      <c r="W430" s="33"/>
      <c r="X430" s="33"/>
      <c r="Y430" s="33"/>
      <c r="Z430" s="33"/>
      <c r="AA430" s="33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3"/>
      <c r="V431" s="33"/>
      <c r="W431" s="33"/>
      <c r="X431" s="33"/>
      <c r="Y431" s="33"/>
      <c r="Z431" s="33"/>
      <c r="AA431" s="33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3"/>
      <c r="V432" s="33"/>
      <c r="W432" s="33"/>
      <c r="X432" s="33"/>
      <c r="Y432" s="33"/>
      <c r="Z432" s="33"/>
      <c r="AA432" s="33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3"/>
      <c r="V433" s="33"/>
      <c r="W433" s="33"/>
      <c r="X433" s="33"/>
      <c r="Y433" s="33"/>
      <c r="Z433" s="33"/>
      <c r="AA433" s="33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3"/>
      <c r="V434" s="33"/>
      <c r="W434" s="33"/>
      <c r="X434" s="33"/>
      <c r="Y434" s="33"/>
      <c r="Z434" s="33"/>
      <c r="AA434" s="33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3"/>
      <c r="V435" s="33"/>
      <c r="W435" s="33"/>
      <c r="X435" s="33"/>
      <c r="Y435" s="33"/>
      <c r="Z435" s="33"/>
      <c r="AA435" s="33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3"/>
      <c r="V436" s="33"/>
      <c r="W436" s="33"/>
      <c r="X436" s="33"/>
      <c r="Y436" s="33"/>
      <c r="Z436" s="33"/>
      <c r="AA436" s="33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3"/>
      <c r="V437" s="33"/>
      <c r="W437" s="33"/>
      <c r="X437" s="33"/>
      <c r="Y437" s="33"/>
      <c r="Z437" s="33"/>
      <c r="AA437" s="33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3"/>
      <c r="V438" s="33"/>
      <c r="W438" s="33"/>
      <c r="X438" s="33"/>
      <c r="Y438" s="33"/>
      <c r="Z438" s="33"/>
      <c r="AA438" s="33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3"/>
      <c r="V439" s="33"/>
      <c r="W439" s="33"/>
      <c r="X439" s="33"/>
      <c r="Y439" s="33"/>
      <c r="Z439" s="33"/>
      <c r="AA439" s="33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3"/>
      <c r="V440" s="33"/>
      <c r="W440" s="33"/>
      <c r="X440" s="33"/>
      <c r="Y440" s="33"/>
      <c r="Z440" s="33"/>
      <c r="AA440" s="33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3"/>
      <c r="V441" s="33"/>
      <c r="W441" s="33"/>
      <c r="X441" s="33"/>
      <c r="Y441" s="33"/>
      <c r="Z441" s="33"/>
      <c r="AA441" s="33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3"/>
      <c r="V442" s="33"/>
      <c r="W442" s="33"/>
      <c r="X442" s="33"/>
      <c r="Y442" s="33"/>
      <c r="Z442" s="33"/>
      <c r="AA442" s="33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3"/>
      <c r="V443" s="33"/>
      <c r="W443" s="33"/>
      <c r="X443" s="33"/>
      <c r="Y443" s="33"/>
      <c r="Z443" s="33"/>
      <c r="AA443" s="33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3"/>
      <c r="V444" s="33"/>
      <c r="W444" s="33"/>
      <c r="X444" s="33"/>
      <c r="Y444" s="33"/>
      <c r="Z444" s="33"/>
      <c r="AA444" s="33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3"/>
      <c r="V445" s="33"/>
      <c r="W445" s="33"/>
      <c r="X445" s="33"/>
      <c r="Y445" s="33"/>
      <c r="Z445" s="33"/>
      <c r="AA445" s="33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3"/>
      <c r="V446" s="33"/>
      <c r="W446" s="33"/>
      <c r="X446" s="33"/>
      <c r="Y446" s="33"/>
      <c r="Z446" s="33"/>
      <c r="AA446" s="33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3"/>
      <c r="V447" s="33"/>
      <c r="W447" s="33"/>
      <c r="X447" s="33"/>
      <c r="Y447" s="33"/>
      <c r="Z447" s="33"/>
      <c r="AA447" s="33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3"/>
      <c r="V448" s="33"/>
      <c r="W448" s="33"/>
      <c r="X448" s="33"/>
      <c r="Y448" s="33"/>
      <c r="Z448" s="33"/>
      <c r="AA448" s="33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3"/>
      <c r="V449" s="33"/>
      <c r="W449" s="33"/>
      <c r="X449" s="33"/>
      <c r="Y449" s="33"/>
      <c r="Z449" s="33"/>
      <c r="AA449" s="33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3"/>
      <c r="V450" s="33"/>
      <c r="W450" s="33"/>
      <c r="X450" s="33"/>
      <c r="Y450" s="33"/>
      <c r="Z450" s="33"/>
      <c r="AA450" s="33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3"/>
      <c r="V451" s="33"/>
      <c r="W451" s="33"/>
      <c r="X451" s="33"/>
      <c r="Y451" s="33"/>
      <c r="Z451" s="33"/>
      <c r="AA451" s="33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3"/>
      <c r="V452" s="33"/>
      <c r="W452" s="33"/>
      <c r="X452" s="33"/>
      <c r="Y452" s="33"/>
      <c r="Z452" s="33"/>
      <c r="AA452" s="33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3"/>
      <c r="V453" s="33"/>
      <c r="W453" s="33"/>
      <c r="X453" s="33"/>
      <c r="Y453" s="33"/>
      <c r="Z453" s="33"/>
      <c r="AA453" s="33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3"/>
      <c r="V454" s="33"/>
      <c r="W454" s="33"/>
      <c r="X454" s="33"/>
      <c r="Y454" s="33"/>
      <c r="Z454" s="33"/>
      <c r="AA454" s="33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3"/>
      <c r="V455" s="33"/>
      <c r="W455" s="33"/>
      <c r="X455" s="33"/>
      <c r="Y455" s="33"/>
      <c r="Z455" s="33"/>
      <c r="AA455" s="33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3"/>
      <c r="V456" s="33"/>
      <c r="W456" s="33"/>
      <c r="X456" s="33"/>
      <c r="Y456" s="33"/>
      <c r="Z456" s="33"/>
      <c r="AA456" s="33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3"/>
      <c r="V457" s="33"/>
      <c r="W457" s="33"/>
      <c r="X457" s="33"/>
      <c r="Y457" s="33"/>
      <c r="Z457" s="33"/>
      <c r="AA457" s="33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3"/>
      <c r="V458" s="33"/>
      <c r="W458" s="33"/>
      <c r="X458" s="33"/>
      <c r="Y458" s="33"/>
      <c r="Z458" s="33"/>
      <c r="AA458" s="33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3"/>
      <c r="V459" s="33"/>
      <c r="W459" s="33"/>
      <c r="X459" s="33"/>
      <c r="Y459" s="33"/>
      <c r="Z459" s="33"/>
      <c r="AA459" s="33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3"/>
      <c r="V460" s="33"/>
      <c r="W460" s="33"/>
      <c r="X460" s="33"/>
      <c r="Y460" s="33"/>
      <c r="Z460" s="33"/>
      <c r="AA460" s="33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3"/>
      <c r="V461" s="33"/>
      <c r="W461" s="33"/>
      <c r="X461" s="33"/>
      <c r="Y461" s="33"/>
      <c r="Z461" s="33"/>
      <c r="AA461" s="33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3"/>
      <c r="V462" s="33"/>
      <c r="W462" s="33"/>
      <c r="X462" s="33"/>
      <c r="Y462" s="33"/>
      <c r="Z462" s="33"/>
      <c r="AA462" s="33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3"/>
      <c r="V463" s="33"/>
      <c r="W463" s="33"/>
      <c r="X463" s="33"/>
      <c r="Y463" s="33"/>
      <c r="Z463" s="33"/>
      <c r="AA463" s="33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3"/>
      <c r="V464" s="33"/>
      <c r="W464" s="33"/>
      <c r="X464" s="33"/>
      <c r="Y464" s="33"/>
      <c r="Z464" s="33"/>
      <c r="AA464" s="33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3"/>
      <c r="V465" s="33"/>
      <c r="W465" s="33"/>
      <c r="X465" s="33"/>
      <c r="Y465" s="33"/>
      <c r="Z465" s="33"/>
      <c r="AA465" s="33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3"/>
      <c r="V466" s="33"/>
      <c r="W466" s="33"/>
      <c r="X466" s="33"/>
      <c r="Y466" s="33"/>
      <c r="Z466" s="33"/>
      <c r="AA466" s="33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3"/>
      <c r="V467" s="33"/>
      <c r="W467" s="33"/>
      <c r="X467" s="33"/>
      <c r="Y467" s="33"/>
      <c r="Z467" s="33"/>
      <c r="AA467" s="33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3"/>
      <c r="V468" s="33"/>
      <c r="W468" s="33"/>
      <c r="X468" s="33"/>
      <c r="Y468" s="33"/>
      <c r="Z468" s="33"/>
      <c r="AA468" s="33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3"/>
      <c r="V469" s="33"/>
      <c r="W469" s="33"/>
      <c r="X469" s="33"/>
      <c r="Y469" s="33"/>
      <c r="Z469" s="33"/>
      <c r="AA469" s="33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3"/>
      <c r="V470" s="33"/>
      <c r="W470" s="33"/>
      <c r="X470" s="33"/>
      <c r="Y470" s="33"/>
      <c r="Z470" s="33"/>
      <c r="AA470" s="33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3"/>
      <c r="V471" s="33"/>
      <c r="W471" s="33"/>
      <c r="X471" s="33"/>
      <c r="Y471" s="33"/>
      <c r="Z471" s="33"/>
      <c r="AA471" s="33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3"/>
      <c r="V472" s="33"/>
      <c r="W472" s="33"/>
      <c r="X472" s="33"/>
      <c r="Y472" s="33"/>
      <c r="Z472" s="33"/>
      <c r="AA472" s="33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3"/>
      <c r="V473" s="33"/>
      <c r="W473" s="33"/>
      <c r="X473" s="33"/>
      <c r="Y473" s="33"/>
      <c r="Z473" s="33"/>
      <c r="AA473" s="33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3"/>
      <c r="V474" s="33"/>
      <c r="W474" s="33"/>
      <c r="X474" s="33"/>
      <c r="Y474" s="33"/>
      <c r="Z474" s="33"/>
      <c r="AA474" s="33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3"/>
      <c r="V475" s="33"/>
      <c r="W475" s="33"/>
      <c r="X475" s="33"/>
      <c r="Y475" s="33"/>
      <c r="Z475" s="33"/>
      <c r="AA475" s="33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3"/>
      <c r="V476" s="33"/>
      <c r="W476" s="33"/>
      <c r="X476" s="33"/>
      <c r="Y476" s="33"/>
      <c r="Z476" s="33"/>
      <c r="AA476" s="33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3"/>
      <c r="V477" s="33"/>
      <c r="W477" s="33"/>
      <c r="X477" s="33"/>
      <c r="Y477" s="33"/>
      <c r="Z477" s="33"/>
      <c r="AA477" s="33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3"/>
      <c r="V478" s="33"/>
      <c r="W478" s="33"/>
      <c r="X478" s="33"/>
      <c r="Y478" s="33"/>
      <c r="Z478" s="33"/>
      <c r="AA478" s="33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3"/>
      <c r="V479" s="33"/>
      <c r="W479" s="33"/>
      <c r="X479" s="33"/>
      <c r="Y479" s="33"/>
      <c r="Z479" s="33"/>
      <c r="AA479" s="33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3"/>
      <c r="V480" s="33"/>
      <c r="W480" s="33"/>
      <c r="X480" s="33"/>
      <c r="Y480" s="33"/>
      <c r="Z480" s="33"/>
      <c r="AA480" s="33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3"/>
      <c r="V481" s="33"/>
      <c r="W481" s="33"/>
      <c r="X481" s="33"/>
      <c r="Y481" s="33"/>
      <c r="Z481" s="33"/>
      <c r="AA481" s="33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3"/>
      <c r="V482" s="33"/>
      <c r="W482" s="33"/>
      <c r="X482" s="33"/>
      <c r="Y482" s="33"/>
      <c r="Z482" s="33"/>
      <c r="AA482" s="33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3"/>
      <c r="V483" s="33"/>
      <c r="W483" s="33"/>
      <c r="X483" s="33"/>
      <c r="Y483" s="33"/>
      <c r="Z483" s="33"/>
      <c r="AA483" s="33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3"/>
      <c r="V484" s="33"/>
      <c r="W484" s="33"/>
      <c r="X484" s="33"/>
      <c r="Y484" s="33"/>
      <c r="Z484" s="33"/>
      <c r="AA484" s="33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3"/>
      <c r="V485" s="33"/>
      <c r="W485" s="33"/>
      <c r="X485" s="33"/>
      <c r="Y485" s="33"/>
      <c r="Z485" s="33"/>
      <c r="AA485" s="33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3"/>
      <c r="V486" s="33"/>
      <c r="W486" s="33"/>
      <c r="X486" s="33"/>
      <c r="Y486" s="33"/>
      <c r="Z486" s="33"/>
      <c r="AA486" s="33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3"/>
      <c r="V487" s="33"/>
      <c r="W487" s="33"/>
      <c r="X487" s="33"/>
      <c r="Y487" s="33"/>
      <c r="Z487" s="33"/>
      <c r="AA487" s="33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3"/>
      <c r="V488" s="33"/>
      <c r="W488" s="33"/>
      <c r="X488" s="33"/>
      <c r="Y488" s="33"/>
      <c r="Z488" s="33"/>
      <c r="AA488" s="33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3"/>
      <c r="V489" s="33"/>
      <c r="W489" s="33"/>
      <c r="X489" s="33"/>
      <c r="Y489" s="33"/>
      <c r="Z489" s="33"/>
      <c r="AA489" s="33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3"/>
      <c r="V490" s="33"/>
      <c r="W490" s="33"/>
      <c r="X490" s="33"/>
      <c r="Y490" s="33"/>
      <c r="Z490" s="33"/>
      <c r="AA490" s="33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3"/>
      <c r="V491" s="33"/>
      <c r="W491" s="33"/>
      <c r="X491" s="33"/>
      <c r="Y491" s="33"/>
      <c r="Z491" s="33"/>
      <c r="AA491" s="33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3"/>
      <c r="V492" s="33"/>
      <c r="W492" s="33"/>
      <c r="X492" s="33"/>
      <c r="Y492" s="33"/>
      <c r="Z492" s="33"/>
      <c r="AA492" s="33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3"/>
      <c r="V493" s="33"/>
      <c r="W493" s="33"/>
      <c r="X493" s="33"/>
      <c r="Y493" s="33"/>
      <c r="Z493" s="33"/>
      <c r="AA493" s="33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3"/>
      <c r="V494" s="33"/>
      <c r="W494" s="33"/>
      <c r="X494" s="33"/>
      <c r="Y494" s="33"/>
      <c r="Z494" s="33"/>
      <c r="AA494" s="33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3"/>
      <c r="V495" s="33"/>
      <c r="W495" s="33"/>
      <c r="X495" s="33"/>
      <c r="Y495" s="33"/>
      <c r="Z495" s="33"/>
      <c r="AA495" s="33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3"/>
      <c r="V496" s="33"/>
      <c r="W496" s="33"/>
      <c r="X496" s="33"/>
      <c r="Y496" s="33"/>
      <c r="Z496" s="33"/>
      <c r="AA496" s="33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3"/>
      <c r="V497" s="33"/>
      <c r="W497" s="33"/>
      <c r="X497" s="33"/>
      <c r="Y497" s="33"/>
      <c r="Z497" s="33"/>
      <c r="AA497" s="33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3"/>
      <c r="V498" s="33"/>
      <c r="W498" s="33"/>
      <c r="X498" s="33"/>
      <c r="Y498" s="33"/>
      <c r="Z498" s="33"/>
      <c r="AA498" s="33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3"/>
      <c r="V499" s="33"/>
      <c r="W499" s="33"/>
      <c r="X499" s="33"/>
      <c r="Y499" s="33"/>
      <c r="Z499" s="33"/>
      <c r="AA499" s="33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3"/>
      <c r="V500" s="33"/>
      <c r="W500" s="33"/>
      <c r="X500" s="33"/>
      <c r="Y500" s="33"/>
      <c r="Z500" s="33"/>
      <c r="AA500" s="33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3"/>
      <c r="V501" s="33"/>
      <c r="W501" s="33"/>
      <c r="X501" s="33"/>
      <c r="Y501" s="33"/>
      <c r="Z501" s="33"/>
      <c r="AA501" s="33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3"/>
      <c r="V502" s="33"/>
      <c r="W502" s="33"/>
      <c r="X502" s="33"/>
      <c r="Y502" s="33"/>
      <c r="Z502" s="33"/>
      <c r="AA502" s="33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3"/>
      <c r="V503" s="33"/>
      <c r="W503" s="33"/>
      <c r="X503" s="33"/>
      <c r="Y503" s="33"/>
      <c r="Z503" s="33"/>
      <c r="AA503" s="33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3"/>
      <c r="V504" s="33"/>
      <c r="W504" s="33"/>
      <c r="X504" s="33"/>
      <c r="Y504" s="33"/>
      <c r="Z504" s="33"/>
      <c r="AA504" s="33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3"/>
      <c r="V505" s="33"/>
      <c r="W505" s="33"/>
      <c r="X505" s="33"/>
      <c r="Y505" s="33"/>
      <c r="Z505" s="33"/>
      <c r="AA505" s="33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3"/>
      <c r="V506" s="33"/>
      <c r="W506" s="33"/>
      <c r="X506" s="33"/>
      <c r="Y506" s="33"/>
      <c r="Z506" s="33"/>
      <c r="AA506" s="33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3"/>
      <c r="V507" s="33"/>
      <c r="W507" s="33"/>
      <c r="X507" s="33"/>
      <c r="Y507" s="33"/>
      <c r="Z507" s="33"/>
      <c r="AA507" s="33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3"/>
      <c r="V508" s="33"/>
      <c r="W508" s="33"/>
      <c r="X508" s="33"/>
      <c r="Y508" s="33"/>
      <c r="Z508" s="33"/>
      <c r="AA508" s="33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3"/>
      <c r="V509" s="33"/>
      <c r="W509" s="33"/>
      <c r="X509" s="33"/>
      <c r="Y509" s="33"/>
      <c r="Z509" s="33"/>
      <c r="AA509" s="33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3"/>
      <c r="V510" s="33"/>
      <c r="W510" s="33"/>
      <c r="X510" s="33"/>
      <c r="Y510" s="33"/>
      <c r="Z510" s="33"/>
      <c r="AA510" s="33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3"/>
      <c r="V511" s="33"/>
      <c r="W511" s="33"/>
      <c r="X511" s="33"/>
      <c r="Y511" s="33"/>
      <c r="Z511" s="33"/>
      <c r="AA511" s="33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3"/>
      <c r="V512" s="33"/>
      <c r="W512" s="33"/>
      <c r="X512" s="33"/>
      <c r="Y512" s="33"/>
      <c r="Z512" s="33"/>
      <c r="AA512" s="33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3"/>
      <c r="V513" s="33"/>
      <c r="W513" s="33"/>
      <c r="X513" s="33"/>
      <c r="Y513" s="33"/>
      <c r="Z513" s="33"/>
      <c r="AA513" s="33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3"/>
      <c r="V514" s="33"/>
      <c r="W514" s="33"/>
      <c r="X514" s="33"/>
      <c r="Y514" s="33"/>
      <c r="Z514" s="33"/>
      <c r="AA514" s="33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3"/>
      <c r="V515" s="33"/>
      <c r="W515" s="33"/>
      <c r="X515" s="33"/>
      <c r="Y515" s="33"/>
      <c r="Z515" s="33"/>
      <c r="AA515" s="33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3"/>
      <c r="V516" s="33"/>
      <c r="W516" s="33"/>
      <c r="X516" s="33"/>
      <c r="Y516" s="33"/>
      <c r="Z516" s="33"/>
      <c r="AA516" s="33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3"/>
      <c r="V517" s="33"/>
      <c r="W517" s="33"/>
      <c r="X517" s="33"/>
      <c r="Y517" s="33"/>
      <c r="Z517" s="33"/>
      <c r="AA517" s="33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3"/>
      <c r="V518" s="33"/>
      <c r="W518" s="33"/>
      <c r="X518" s="33"/>
      <c r="Y518" s="33"/>
      <c r="Z518" s="33"/>
      <c r="AA518" s="33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3"/>
      <c r="V519" s="33"/>
      <c r="W519" s="33"/>
      <c r="X519" s="33"/>
      <c r="Y519" s="33"/>
      <c r="Z519" s="33"/>
      <c r="AA519" s="33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3"/>
      <c r="V520" s="33"/>
      <c r="W520" s="33"/>
      <c r="X520" s="33"/>
      <c r="Y520" s="33"/>
      <c r="Z520" s="33"/>
      <c r="AA520" s="33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3"/>
      <c r="V521" s="33"/>
      <c r="W521" s="33"/>
      <c r="X521" s="33"/>
      <c r="Y521" s="33"/>
      <c r="Z521" s="33"/>
      <c r="AA521" s="33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3"/>
      <c r="V522" s="33"/>
      <c r="W522" s="33"/>
      <c r="X522" s="33"/>
      <c r="Y522" s="33"/>
      <c r="Z522" s="33"/>
      <c r="AA522" s="33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3"/>
      <c r="V523" s="33"/>
      <c r="W523" s="33"/>
      <c r="X523" s="33"/>
      <c r="Y523" s="33"/>
      <c r="Z523" s="33"/>
      <c r="AA523" s="33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3"/>
      <c r="V524" s="33"/>
      <c r="W524" s="33"/>
      <c r="X524" s="33"/>
      <c r="Y524" s="33"/>
      <c r="Z524" s="33"/>
      <c r="AA524" s="33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3"/>
      <c r="V525" s="33"/>
      <c r="W525" s="33"/>
      <c r="X525" s="33"/>
      <c r="Y525" s="33"/>
      <c r="Z525" s="33"/>
      <c r="AA525" s="33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3"/>
      <c r="V526" s="33"/>
      <c r="W526" s="33"/>
      <c r="X526" s="33"/>
      <c r="Y526" s="33"/>
      <c r="Z526" s="33"/>
      <c r="AA526" s="33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3"/>
      <c r="V527" s="33"/>
      <c r="W527" s="33"/>
      <c r="X527" s="33"/>
      <c r="Y527" s="33"/>
      <c r="Z527" s="33"/>
      <c r="AA527" s="33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3"/>
      <c r="V528" s="33"/>
      <c r="W528" s="33"/>
      <c r="X528" s="33"/>
      <c r="Y528" s="33"/>
      <c r="Z528" s="33"/>
      <c r="AA528" s="33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3"/>
      <c r="V529" s="33"/>
      <c r="W529" s="33"/>
      <c r="X529" s="33"/>
      <c r="Y529" s="33"/>
      <c r="Z529" s="33"/>
      <c r="AA529" s="33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3"/>
      <c r="V530" s="33"/>
      <c r="W530" s="33"/>
      <c r="X530" s="33"/>
      <c r="Y530" s="33"/>
      <c r="Z530" s="33"/>
      <c r="AA530" s="33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3"/>
      <c r="V531" s="33"/>
      <c r="W531" s="33"/>
      <c r="X531" s="33"/>
      <c r="Y531" s="33"/>
      <c r="Z531" s="33"/>
      <c r="AA531" s="33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3"/>
      <c r="V532" s="33"/>
      <c r="W532" s="33"/>
      <c r="X532" s="33"/>
      <c r="Y532" s="33"/>
      <c r="Z532" s="33"/>
      <c r="AA532" s="33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3"/>
      <c r="V533" s="33"/>
      <c r="W533" s="33"/>
      <c r="X533" s="33"/>
      <c r="Y533" s="33"/>
      <c r="Z533" s="33"/>
      <c r="AA533" s="33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3"/>
      <c r="V534" s="33"/>
      <c r="W534" s="33"/>
      <c r="X534" s="33"/>
      <c r="Y534" s="33"/>
      <c r="Z534" s="33"/>
      <c r="AA534" s="33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3"/>
      <c r="V535" s="33"/>
      <c r="W535" s="33"/>
      <c r="X535" s="33"/>
      <c r="Y535" s="33"/>
      <c r="Z535" s="33"/>
      <c r="AA535" s="33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3"/>
      <c r="V536" s="33"/>
      <c r="W536" s="33"/>
      <c r="X536" s="33"/>
      <c r="Y536" s="33"/>
      <c r="Z536" s="33"/>
      <c r="AA536" s="33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3"/>
      <c r="V537" s="33"/>
      <c r="W537" s="33"/>
      <c r="X537" s="33"/>
      <c r="Y537" s="33"/>
      <c r="Z537" s="33"/>
      <c r="AA537" s="33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3"/>
      <c r="V538" s="33"/>
      <c r="W538" s="33"/>
      <c r="X538" s="33"/>
      <c r="Y538" s="33"/>
      <c r="Z538" s="33"/>
      <c r="AA538" s="33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3"/>
      <c r="V539" s="33"/>
      <c r="W539" s="33"/>
      <c r="X539" s="33"/>
      <c r="Y539" s="33"/>
      <c r="Z539" s="33"/>
      <c r="AA539" s="33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3"/>
      <c r="V540" s="33"/>
      <c r="W540" s="33"/>
      <c r="X540" s="33"/>
      <c r="Y540" s="33"/>
      <c r="Z540" s="33"/>
      <c r="AA540" s="33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3"/>
      <c r="V541" s="33"/>
      <c r="W541" s="33"/>
      <c r="X541" s="33"/>
      <c r="Y541" s="33"/>
      <c r="Z541" s="33"/>
      <c r="AA541" s="33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3"/>
      <c r="V542" s="33"/>
      <c r="W542" s="33"/>
      <c r="X542" s="33"/>
      <c r="Y542" s="33"/>
      <c r="Z542" s="33"/>
      <c r="AA542" s="33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3"/>
      <c r="V543" s="33"/>
      <c r="W543" s="33"/>
      <c r="X543" s="33"/>
      <c r="Y543" s="33"/>
      <c r="Z543" s="33"/>
      <c r="AA543" s="33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3"/>
      <c r="V544" s="33"/>
      <c r="W544" s="33"/>
      <c r="X544" s="33"/>
      <c r="Y544" s="33"/>
      <c r="Z544" s="33"/>
      <c r="AA544" s="33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3"/>
      <c r="V545" s="33"/>
      <c r="W545" s="33"/>
      <c r="X545" s="33"/>
      <c r="Y545" s="33"/>
      <c r="Z545" s="33"/>
      <c r="AA545" s="33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3"/>
      <c r="V546" s="33"/>
      <c r="W546" s="33"/>
      <c r="X546" s="33"/>
      <c r="Y546" s="33"/>
      <c r="Z546" s="33"/>
      <c r="AA546" s="33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3"/>
      <c r="V547" s="33"/>
      <c r="W547" s="33"/>
      <c r="X547" s="33"/>
      <c r="Y547" s="33"/>
      <c r="Z547" s="33"/>
      <c r="AA547" s="33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3"/>
      <c r="V548" s="33"/>
      <c r="W548" s="33"/>
      <c r="X548" s="33"/>
      <c r="Y548" s="33"/>
      <c r="Z548" s="33"/>
      <c r="AA548" s="33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3"/>
      <c r="V549" s="33"/>
      <c r="W549" s="33"/>
      <c r="X549" s="33"/>
      <c r="Y549" s="33"/>
      <c r="Z549" s="33"/>
      <c r="AA549" s="33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3"/>
      <c r="V550" s="33"/>
      <c r="W550" s="33"/>
      <c r="X550" s="33"/>
      <c r="Y550" s="33"/>
      <c r="Z550" s="33"/>
      <c r="AA550" s="33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3"/>
      <c r="V551" s="33"/>
      <c r="W551" s="33"/>
      <c r="X551" s="33"/>
      <c r="Y551" s="33"/>
      <c r="Z551" s="33"/>
      <c r="AA551" s="33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3"/>
      <c r="V552" s="33"/>
      <c r="W552" s="33"/>
      <c r="X552" s="33"/>
      <c r="Y552" s="33"/>
      <c r="Z552" s="33"/>
      <c r="AA552" s="33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3"/>
      <c r="V553" s="33"/>
      <c r="W553" s="33"/>
      <c r="X553" s="33"/>
      <c r="Y553" s="33"/>
      <c r="Z553" s="33"/>
      <c r="AA553" s="33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3"/>
      <c r="V554" s="33"/>
      <c r="W554" s="33"/>
      <c r="X554" s="33"/>
      <c r="Y554" s="33"/>
      <c r="Z554" s="33"/>
      <c r="AA554" s="33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3"/>
      <c r="V555" s="33"/>
      <c r="W555" s="33"/>
      <c r="X555" s="33"/>
      <c r="Y555" s="33"/>
      <c r="Z555" s="33"/>
      <c r="AA555" s="33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3"/>
      <c r="V556" s="33"/>
      <c r="W556" s="33"/>
      <c r="X556" s="33"/>
      <c r="Y556" s="33"/>
      <c r="Z556" s="33"/>
      <c r="AA556" s="33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3"/>
      <c r="V557" s="33"/>
      <c r="W557" s="33"/>
      <c r="X557" s="33"/>
      <c r="Y557" s="33"/>
      <c r="Z557" s="33"/>
      <c r="AA557" s="33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3"/>
      <c r="V558" s="33"/>
      <c r="W558" s="33"/>
      <c r="X558" s="33"/>
      <c r="Y558" s="33"/>
      <c r="Z558" s="33"/>
      <c r="AA558" s="33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3"/>
      <c r="V559" s="33"/>
      <c r="W559" s="33"/>
      <c r="X559" s="33"/>
      <c r="Y559" s="33"/>
      <c r="Z559" s="33"/>
      <c r="AA559" s="33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3"/>
      <c r="V560" s="33"/>
      <c r="W560" s="33"/>
      <c r="X560" s="33"/>
      <c r="Y560" s="33"/>
      <c r="Z560" s="33"/>
      <c r="AA560" s="33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3"/>
      <c r="V561" s="33"/>
      <c r="W561" s="33"/>
      <c r="X561" s="33"/>
      <c r="Y561" s="33"/>
      <c r="Z561" s="33"/>
      <c r="AA561" s="33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3"/>
      <c r="V562" s="33"/>
      <c r="W562" s="33"/>
      <c r="X562" s="33"/>
      <c r="Y562" s="33"/>
      <c r="Z562" s="33"/>
      <c r="AA562" s="33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3"/>
      <c r="V563" s="33"/>
      <c r="W563" s="33"/>
      <c r="X563" s="33"/>
      <c r="Y563" s="33"/>
      <c r="Z563" s="33"/>
      <c r="AA563" s="33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3"/>
      <c r="V564" s="33"/>
      <c r="W564" s="33"/>
      <c r="X564" s="33"/>
      <c r="Y564" s="33"/>
      <c r="Z564" s="33"/>
      <c r="AA564" s="33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3"/>
      <c r="V565" s="33"/>
      <c r="W565" s="33"/>
      <c r="X565" s="33"/>
      <c r="Y565" s="33"/>
      <c r="Z565" s="33"/>
      <c r="AA565" s="33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3"/>
      <c r="V566" s="33"/>
      <c r="W566" s="33"/>
      <c r="X566" s="33"/>
      <c r="Y566" s="33"/>
      <c r="Z566" s="33"/>
      <c r="AA566" s="33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3"/>
      <c r="V567" s="33"/>
      <c r="W567" s="33"/>
      <c r="X567" s="33"/>
      <c r="Y567" s="33"/>
      <c r="Z567" s="33"/>
      <c r="AA567" s="33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3"/>
      <c r="V568" s="33"/>
      <c r="W568" s="33"/>
      <c r="X568" s="33"/>
      <c r="Y568" s="33"/>
      <c r="Z568" s="33"/>
      <c r="AA568" s="33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3"/>
      <c r="V569" s="33"/>
      <c r="W569" s="33"/>
      <c r="X569" s="33"/>
      <c r="Y569" s="33"/>
      <c r="Z569" s="33"/>
      <c r="AA569" s="33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3"/>
      <c r="V570" s="33"/>
      <c r="W570" s="33"/>
      <c r="X570" s="33"/>
      <c r="Y570" s="33"/>
      <c r="Z570" s="33"/>
      <c r="AA570" s="33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3"/>
      <c r="V571" s="33"/>
      <c r="W571" s="33"/>
      <c r="X571" s="33"/>
      <c r="Y571" s="33"/>
      <c r="Z571" s="33"/>
      <c r="AA571" s="33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3"/>
      <c r="V572" s="33"/>
      <c r="W572" s="33"/>
      <c r="X572" s="33"/>
      <c r="Y572" s="33"/>
      <c r="Z572" s="33"/>
      <c r="AA572" s="33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3"/>
      <c r="V573" s="33"/>
      <c r="W573" s="33"/>
      <c r="X573" s="33"/>
      <c r="Y573" s="33"/>
      <c r="Z573" s="33"/>
      <c r="AA573" s="33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3"/>
      <c r="V574" s="33"/>
      <c r="W574" s="33"/>
      <c r="X574" s="33"/>
      <c r="Y574" s="33"/>
      <c r="Z574" s="33"/>
      <c r="AA574" s="33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3"/>
      <c r="V575" s="33"/>
      <c r="W575" s="33"/>
      <c r="X575" s="33"/>
      <c r="Y575" s="33"/>
      <c r="Z575" s="33"/>
      <c r="AA575" s="33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3"/>
      <c r="V576" s="33"/>
      <c r="W576" s="33"/>
      <c r="X576" s="33"/>
      <c r="Y576" s="33"/>
      <c r="Z576" s="33"/>
      <c r="AA576" s="33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3"/>
      <c r="V577" s="33"/>
      <c r="W577" s="33"/>
      <c r="X577" s="33"/>
      <c r="Y577" s="33"/>
      <c r="Z577" s="33"/>
      <c r="AA577" s="33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3"/>
      <c r="V578" s="33"/>
      <c r="W578" s="33"/>
      <c r="X578" s="33"/>
      <c r="Y578" s="33"/>
      <c r="Z578" s="33"/>
      <c r="AA578" s="33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3"/>
      <c r="V579" s="33"/>
      <c r="W579" s="33"/>
      <c r="X579" s="33"/>
      <c r="Y579" s="33"/>
      <c r="Z579" s="33"/>
      <c r="AA579" s="33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3"/>
      <c r="V580" s="33"/>
      <c r="W580" s="33"/>
      <c r="X580" s="33"/>
      <c r="Y580" s="33"/>
      <c r="Z580" s="33"/>
      <c r="AA580" s="33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3"/>
      <c r="V581" s="33"/>
      <c r="W581" s="33"/>
      <c r="X581" s="33"/>
      <c r="Y581" s="33"/>
      <c r="Z581" s="33"/>
      <c r="AA581" s="33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3"/>
      <c r="V582" s="33"/>
      <c r="W582" s="33"/>
      <c r="X582" s="33"/>
      <c r="Y582" s="33"/>
      <c r="Z582" s="33"/>
      <c r="AA582" s="33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3"/>
      <c r="V583" s="33"/>
      <c r="W583" s="33"/>
      <c r="X583" s="33"/>
      <c r="Y583" s="33"/>
      <c r="Z583" s="33"/>
      <c r="AA583" s="33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3"/>
      <c r="V584" s="33"/>
      <c r="W584" s="33"/>
      <c r="X584" s="33"/>
      <c r="Y584" s="33"/>
      <c r="Z584" s="33"/>
      <c r="AA584" s="33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3"/>
      <c r="V585" s="33"/>
      <c r="W585" s="33"/>
      <c r="X585" s="33"/>
      <c r="Y585" s="33"/>
      <c r="Z585" s="33"/>
      <c r="AA585" s="33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3"/>
      <c r="V586" s="33"/>
      <c r="W586" s="33"/>
      <c r="X586" s="33"/>
      <c r="Y586" s="33"/>
      <c r="Z586" s="33"/>
      <c r="AA586" s="33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3"/>
      <c r="V587" s="33"/>
      <c r="W587" s="33"/>
      <c r="X587" s="33"/>
      <c r="Y587" s="33"/>
      <c r="Z587" s="33"/>
      <c r="AA587" s="33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3"/>
      <c r="V588" s="33"/>
      <c r="W588" s="33"/>
      <c r="X588" s="33"/>
      <c r="Y588" s="33"/>
      <c r="Z588" s="33"/>
      <c r="AA588" s="33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3"/>
      <c r="V589" s="33"/>
      <c r="W589" s="33"/>
      <c r="X589" s="33"/>
      <c r="Y589" s="33"/>
      <c r="Z589" s="33"/>
      <c r="AA589" s="33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3"/>
      <c r="V590" s="33"/>
      <c r="W590" s="33"/>
      <c r="X590" s="33"/>
      <c r="Y590" s="33"/>
      <c r="Z590" s="33"/>
      <c r="AA590" s="33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3"/>
      <c r="V591" s="33"/>
      <c r="W591" s="33"/>
      <c r="X591" s="33"/>
      <c r="Y591" s="33"/>
      <c r="Z591" s="33"/>
      <c r="AA591" s="33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3"/>
      <c r="V592" s="33"/>
      <c r="W592" s="33"/>
      <c r="X592" s="33"/>
      <c r="Y592" s="33"/>
      <c r="Z592" s="33"/>
      <c r="AA592" s="33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3"/>
      <c r="V593" s="33"/>
      <c r="W593" s="33"/>
      <c r="X593" s="33"/>
      <c r="Y593" s="33"/>
      <c r="Z593" s="33"/>
      <c r="AA593" s="33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3"/>
      <c r="V594" s="33"/>
      <c r="W594" s="33"/>
      <c r="X594" s="33"/>
      <c r="Y594" s="33"/>
      <c r="Z594" s="33"/>
      <c r="AA594" s="33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3"/>
      <c r="V595" s="33"/>
      <c r="W595" s="33"/>
      <c r="X595" s="33"/>
      <c r="Y595" s="33"/>
      <c r="Z595" s="33"/>
      <c r="AA595" s="33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3"/>
      <c r="V596" s="33"/>
      <c r="W596" s="33"/>
      <c r="X596" s="33"/>
      <c r="Y596" s="33"/>
      <c r="Z596" s="33"/>
      <c r="AA596" s="33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3"/>
      <c r="V597" s="33"/>
      <c r="W597" s="33"/>
      <c r="X597" s="33"/>
      <c r="Y597" s="33"/>
      <c r="Z597" s="33"/>
      <c r="AA597" s="33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3"/>
      <c r="V598" s="33"/>
      <c r="W598" s="33"/>
      <c r="X598" s="33"/>
      <c r="Y598" s="33"/>
      <c r="Z598" s="33"/>
      <c r="AA598" s="33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3"/>
      <c r="V599" s="33"/>
      <c r="W599" s="33"/>
      <c r="X599" s="33"/>
      <c r="Y599" s="33"/>
      <c r="Z599" s="33"/>
      <c r="AA599" s="33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3"/>
      <c r="V600" s="33"/>
      <c r="W600" s="33"/>
      <c r="X600" s="33"/>
      <c r="Y600" s="33"/>
      <c r="Z600" s="33"/>
      <c r="AA600" s="33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3"/>
      <c r="V601" s="33"/>
      <c r="W601" s="33"/>
      <c r="X601" s="33"/>
      <c r="Y601" s="33"/>
      <c r="Z601" s="33"/>
      <c r="AA601" s="33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3"/>
      <c r="V602" s="33"/>
      <c r="W602" s="33"/>
      <c r="X602" s="33"/>
      <c r="Y602" s="33"/>
      <c r="Z602" s="33"/>
      <c r="AA602" s="33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3"/>
      <c r="V603" s="33"/>
      <c r="W603" s="33"/>
      <c r="X603" s="33"/>
      <c r="Y603" s="33"/>
      <c r="Z603" s="33"/>
      <c r="AA603" s="33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3"/>
      <c r="V604" s="33"/>
      <c r="W604" s="33"/>
      <c r="X604" s="33"/>
      <c r="Y604" s="33"/>
      <c r="Z604" s="33"/>
      <c r="AA604" s="33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3"/>
      <c r="V605" s="33"/>
      <c r="W605" s="33"/>
      <c r="X605" s="33"/>
      <c r="Y605" s="33"/>
      <c r="Z605" s="33"/>
      <c r="AA605" s="33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3"/>
      <c r="V606" s="33"/>
      <c r="W606" s="33"/>
      <c r="X606" s="33"/>
      <c r="Y606" s="33"/>
      <c r="Z606" s="33"/>
      <c r="AA606" s="33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3"/>
      <c r="V607" s="33"/>
      <c r="W607" s="33"/>
      <c r="X607" s="33"/>
      <c r="Y607" s="33"/>
      <c r="Z607" s="33"/>
      <c r="AA607" s="33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3"/>
      <c r="V608" s="33"/>
      <c r="W608" s="33"/>
      <c r="X608" s="33"/>
      <c r="Y608" s="33"/>
      <c r="Z608" s="33"/>
      <c r="AA608" s="33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3"/>
      <c r="V609" s="33"/>
      <c r="W609" s="33"/>
      <c r="X609" s="33"/>
      <c r="Y609" s="33"/>
      <c r="Z609" s="33"/>
      <c r="AA609" s="33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3"/>
      <c r="V610" s="33"/>
      <c r="W610" s="33"/>
      <c r="X610" s="33"/>
      <c r="Y610" s="33"/>
      <c r="Z610" s="33"/>
      <c r="AA610" s="33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3"/>
      <c r="V611" s="33"/>
      <c r="W611" s="33"/>
      <c r="X611" s="33"/>
      <c r="Y611" s="33"/>
      <c r="Z611" s="33"/>
      <c r="AA611" s="33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3"/>
      <c r="V612" s="33"/>
      <c r="W612" s="33"/>
      <c r="X612" s="33"/>
      <c r="Y612" s="33"/>
      <c r="Z612" s="33"/>
      <c r="AA612" s="33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3"/>
      <c r="V613" s="33"/>
      <c r="W613" s="33"/>
      <c r="X613" s="33"/>
      <c r="Y613" s="33"/>
      <c r="Z613" s="33"/>
      <c r="AA613" s="33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3"/>
      <c r="V614" s="33"/>
      <c r="W614" s="33"/>
      <c r="X614" s="33"/>
      <c r="Y614" s="33"/>
      <c r="Z614" s="33"/>
      <c r="AA614" s="33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3"/>
      <c r="V615" s="33"/>
      <c r="W615" s="33"/>
      <c r="X615" s="33"/>
      <c r="Y615" s="33"/>
      <c r="Z615" s="33"/>
      <c r="AA615" s="33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3"/>
      <c r="V616" s="33"/>
      <c r="W616" s="33"/>
      <c r="X616" s="33"/>
      <c r="Y616" s="33"/>
      <c r="Z616" s="33"/>
      <c r="AA616" s="33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3"/>
      <c r="V617" s="33"/>
      <c r="W617" s="33"/>
      <c r="X617" s="33"/>
      <c r="Y617" s="33"/>
      <c r="Z617" s="33"/>
      <c r="AA617" s="33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3"/>
      <c r="V618" s="33"/>
      <c r="W618" s="33"/>
      <c r="X618" s="33"/>
      <c r="Y618" s="33"/>
      <c r="Z618" s="33"/>
      <c r="AA618" s="33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3"/>
      <c r="V619" s="33"/>
      <c r="W619" s="33"/>
      <c r="X619" s="33"/>
      <c r="Y619" s="33"/>
      <c r="Z619" s="33"/>
      <c r="AA619" s="33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3"/>
      <c r="V620" s="33"/>
      <c r="W620" s="33"/>
      <c r="X620" s="33"/>
      <c r="Y620" s="33"/>
      <c r="Z620" s="33"/>
      <c r="AA620" s="33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3"/>
      <c r="V621" s="33"/>
      <c r="W621" s="33"/>
      <c r="X621" s="33"/>
      <c r="Y621" s="33"/>
      <c r="Z621" s="33"/>
      <c r="AA621" s="33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3"/>
      <c r="V622" s="33"/>
      <c r="W622" s="33"/>
      <c r="X622" s="33"/>
      <c r="Y622" s="33"/>
      <c r="Z622" s="33"/>
      <c r="AA622" s="33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3"/>
      <c r="V623" s="33"/>
      <c r="W623" s="33"/>
      <c r="X623" s="33"/>
      <c r="Y623" s="33"/>
      <c r="Z623" s="33"/>
      <c r="AA623" s="33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3"/>
      <c r="V624" s="33"/>
      <c r="W624" s="33"/>
      <c r="X624" s="33"/>
      <c r="Y624" s="33"/>
      <c r="Z624" s="33"/>
      <c r="AA624" s="33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3"/>
      <c r="V625" s="33"/>
      <c r="W625" s="33"/>
      <c r="X625" s="33"/>
      <c r="Y625" s="33"/>
      <c r="Z625" s="33"/>
      <c r="AA625" s="33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3"/>
      <c r="V626" s="33"/>
      <c r="W626" s="33"/>
      <c r="X626" s="33"/>
      <c r="Y626" s="33"/>
      <c r="Z626" s="33"/>
      <c r="AA626" s="33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3"/>
      <c r="V627" s="33"/>
      <c r="W627" s="33"/>
      <c r="X627" s="33"/>
      <c r="Y627" s="33"/>
      <c r="Z627" s="33"/>
      <c r="AA627" s="33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3"/>
      <c r="V628" s="33"/>
      <c r="W628" s="33"/>
      <c r="X628" s="33"/>
      <c r="Y628" s="33"/>
      <c r="Z628" s="33"/>
      <c r="AA628" s="33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3"/>
      <c r="V629" s="33"/>
      <c r="W629" s="33"/>
      <c r="X629" s="33"/>
      <c r="Y629" s="33"/>
      <c r="Z629" s="33"/>
      <c r="AA629" s="33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3"/>
      <c r="V630" s="33"/>
      <c r="W630" s="33"/>
      <c r="X630" s="33"/>
      <c r="Y630" s="33"/>
      <c r="Z630" s="33"/>
      <c r="AA630" s="33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3"/>
      <c r="V631" s="33"/>
      <c r="W631" s="33"/>
      <c r="X631" s="33"/>
      <c r="Y631" s="33"/>
      <c r="Z631" s="33"/>
      <c r="AA631" s="33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3"/>
      <c r="V632" s="33"/>
      <c r="W632" s="33"/>
      <c r="X632" s="33"/>
      <c r="Y632" s="33"/>
      <c r="Z632" s="33"/>
      <c r="AA632" s="33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3"/>
      <c r="V633" s="33"/>
      <c r="W633" s="33"/>
      <c r="X633" s="33"/>
      <c r="Y633" s="33"/>
      <c r="Z633" s="33"/>
      <c r="AA633" s="33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3"/>
      <c r="V634" s="33"/>
      <c r="W634" s="33"/>
      <c r="X634" s="33"/>
      <c r="Y634" s="33"/>
      <c r="Z634" s="33"/>
      <c r="AA634" s="33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3"/>
      <c r="V635" s="33"/>
      <c r="W635" s="33"/>
      <c r="X635" s="33"/>
      <c r="Y635" s="33"/>
      <c r="Z635" s="33"/>
      <c r="AA635" s="33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3"/>
      <c r="V636" s="33"/>
      <c r="W636" s="33"/>
      <c r="X636" s="33"/>
      <c r="Y636" s="33"/>
      <c r="Z636" s="33"/>
      <c r="AA636" s="33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3"/>
      <c r="V637" s="33"/>
      <c r="W637" s="33"/>
      <c r="X637" s="33"/>
      <c r="Y637" s="33"/>
      <c r="Z637" s="33"/>
      <c r="AA637" s="33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3"/>
      <c r="V638" s="33"/>
      <c r="W638" s="33"/>
      <c r="X638" s="33"/>
      <c r="Y638" s="33"/>
      <c r="Z638" s="33"/>
      <c r="AA638" s="33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3"/>
      <c r="V639" s="33"/>
      <c r="W639" s="33"/>
      <c r="X639" s="33"/>
      <c r="Y639" s="33"/>
      <c r="Z639" s="33"/>
      <c r="AA639" s="33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3"/>
      <c r="V640" s="33"/>
      <c r="W640" s="33"/>
      <c r="X640" s="33"/>
      <c r="Y640" s="33"/>
      <c r="Z640" s="33"/>
      <c r="AA640" s="33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3"/>
      <c r="V641" s="33"/>
      <c r="W641" s="33"/>
      <c r="X641" s="33"/>
      <c r="Y641" s="33"/>
      <c r="Z641" s="33"/>
      <c r="AA641" s="33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3"/>
      <c r="V642" s="33"/>
      <c r="W642" s="33"/>
      <c r="X642" s="33"/>
      <c r="Y642" s="33"/>
      <c r="Z642" s="33"/>
      <c r="AA642" s="33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3"/>
      <c r="V643" s="33"/>
      <c r="W643" s="33"/>
      <c r="X643" s="33"/>
      <c r="Y643" s="33"/>
      <c r="Z643" s="33"/>
      <c r="AA643" s="33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3"/>
      <c r="V644" s="33"/>
      <c r="W644" s="33"/>
      <c r="X644" s="33"/>
      <c r="Y644" s="33"/>
      <c r="Z644" s="33"/>
      <c r="AA644" s="33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3"/>
      <c r="V645" s="33"/>
      <c r="W645" s="33"/>
      <c r="X645" s="33"/>
      <c r="Y645" s="33"/>
      <c r="Z645" s="33"/>
      <c r="AA645" s="33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3"/>
      <c r="V646" s="33"/>
      <c r="W646" s="33"/>
      <c r="X646" s="33"/>
      <c r="Y646" s="33"/>
      <c r="Z646" s="33"/>
      <c r="AA646" s="33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3"/>
      <c r="V647" s="33"/>
      <c r="W647" s="33"/>
      <c r="X647" s="33"/>
      <c r="Y647" s="33"/>
      <c r="Z647" s="33"/>
      <c r="AA647" s="33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3"/>
      <c r="V648" s="33"/>
      <c r="W648" s="33"/>
      <c r="X648" s="33"/>
      <c r="Y648" s="33"/>
      <c r="Z648" s="33"/>
      <c r="AA648" s="33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3"/>
      <c r="V649" s="33"/>
      <c r="W649" s="33"/>
      <c r="X649" s="33"/>
      <c r="Y649" s="33"/>
      <c r="Z649" s="33"/>
      <c r="AA649" s="33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3"/>
      <c r="V650" s="33"/>
      <c r="W650" s="33"/>
      <c r="X650" s="33"/>
      <c r="Y650" s="33"/>
      <c r="Z650" s="33"/>
      <c r="AA650" s="33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3"/>
      <c r="V651" s="33"/>
      <c r="W651" s="33"/>
      <c r="X651" s="33"/>
      <c r="Y651" s="33"/>
      <c r="Z651" s="33"/>
      <c r="AA651" s="33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3"/>
      <c r="V652" s="33"/>
      <c r="W652" s="33"/>
      <c r="X652" s="33"/>
      <c r="Y652" s="33"/>
      <c r="Z652" s="33"/>
      <c r="AA652" s="33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3"/>
      <c r="V653" s="33"/>
      <c r="W653" s="33"/>
      <c r="X653" s="33"/>
      <c r="Y653" s="33"/>
      <c r="Z653" s="33"/>
      <c r="AA653" s="33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3"/>
      <c r="V654" s="33"/>
      <c r="W654" s="33"/>
      <c r="X654" s="33"/>
      <c r="Y654" s="33"/>
      <c r="Z654" s="33"/>
      <c r="AA654" s="33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3"/>
      <c r="V655" s="33"/>
      <c r="W655" s="33"/>
      <c r="X655" s="33"/>
      <c r="Y655" s="33"/>
      <c r="Z655" s="33"/>
      <c r="AA655" s="33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3"/>
      <c r="V656" s="33"/>
      <c r="W656" s="33"/>
      <c r="X656" s="33"/>
      <c r="Y656" s="33"/>
      <c r="Z656" s="33"/>
      <c r="AA656" s="33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3"/>
      <c r="V657" s="33"/>
      <c r="W657" s="33"/>
      <c r="X657" s="33"/>
      <c r="Y657" s="33"/>
      <c r="Z657" s="33"/>
      <c r="AA657" s="33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3"/>
      <c r="V658" s="33"/>
      <c r="W658" s="33"/>
      <c r="X658" s="33"/>
      <c r="Y658" s="33"/>
      <c r="Z658" s="33"/>
      <c r="AA658" s="33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3"/>
      <c r="V659" s="33"/>
      <c r="W659" s="33"/>
      <c r="X659" s="33"/>
      <c r="Y659" s="33"/>
      <c r="Z659" s="33"/>
      <c r="AA659" s="33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3"/>
      <c r="V660" s="33"/>
      <c r="W660" s="33"/>
      <c r="X660" s="33"/>
      <c r="Y660" s="33"/>
      <c r="Z660" s="33"/>
      <c r="AA660" s="33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3"/>
      <c r="V661" s="33"/>
      <c r="W661" s="33"/>
      <c r="X661" s="33"/>
      <c r="Y661" s="33"/>
      <c r="Z661" s="33"/>
      <c r="AA661" s="33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3"/>
      <c r="V662" s="33"/>
      <c r="W662" s="33"/>
      <c r="X662" s="33"/>
      <c r="Y662" s="33"/>
      <c r="Z662" s="33"/>
      <c r="AA662" s="33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3"/>
      <c r="V663" s="33"/>
      <c r="W663" s="33"/>
      <c r="X663" s="33"/>
      <c r="Y663" s="33"/>
      <c r="Z663" s="33"/>
      <c r="AA663" s="33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3"/>
      <c r="V664" s="33"/>
      <c r="W664" s="33"/>
      <c r="X664" s="33"/>
      <c r="Y664" s="33"/>
      <c r="Z664" s="33"/>
      <c r="AA664" s="33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3"/>
      <c r="V665" s="33"/>
      <c r="W665" s="33"/>
      <c r="X665" s="33"/>
      <c r="Y665" s="33"/>
      <c r="Z665" s="33"/>
      <c r="AA665" s="33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3"/>
      <c r="V666" s="33"/>
      <c r="W666" s="33"/>
      <c r="X666" s="33"/>
      <c r="Y666" s="33"/>
      <c r="Z666" s="33"/>
      <c r="AA666" s="33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3"/>
      <c r="V667" s="33"/>
      <c r="W667" s="33"/>
      <c r="X667" s="33"/>
      <c r="Y667" s="33"/>
      <c r="Z667" s="33"/>
      <c r="AA667" s="33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3"/>
      <c r="V668" s="33"/>
      <c r="W668" s="33"/>
      <c r="X668" s="33"/>
      <c r="Y668" s="33"/>
      <c r="Z668" s="33"/>
      <c r="AA668" s="33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3"/>
      <c r="V669" s="33"/>
      <c r="W669" s="33"/>
      <c r="X669" s="33"/>
      <c r="Y669" s="33"/>
      <c r="Z669" s="33"/>
      <c r="AA669" s="33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3"/>
      <c r="V670" s="33"/>
      <c r="W670" s="33"/>
      <c r="X670" s="33"/>
      <c r="Y670" s="33"/>
      <c r="Z670" s="33"/>
      <c r="AA670" s="33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3"/>
      <c r="V671" s="33"/>
      <c r="W671" s="33"/>
      <c r="X671" s="33"/>
      <c r="Y671" s="33"/>
      <c r="Z671" s="33"/>
      <c r="AA671" s="33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3"/>
      <c r="V672" s="33"/>
      <c r="W672" s="33"/>
      <c r="X672" s="33"/>
      <c r="Y672" s="33"/>
      <c r="Z672" s="33"/>
      <c r="AA672" s="33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3"/>
      <c r="V673" s="33"/>
      <c r="W673" s="33"/>
      <c r="X673" s="33"/>
      <c r="Y673" s="33"/>
      <c r="Z673" s="33"/>
      <c r="AA673" s="33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3"/>
      <c r="V674" s="33"/>
      <c r="W674" s="33"/>
      <c r="X674" s="33"/>
      <c r="Y674" s="33"/>
      <c r="Z674" s="33"/>
      <c r="AA674" s="33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3"/>
      <c r="V675" s="33"/>
      <c r="W675" s="33"/>
      <c r="X675" s="33"/>
      <c r="Y675" s="33"/>
      <c r="Z675" s="33"/>
      <c r="AA675" s="33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3"/>
      <c r="V676" s="33"/>
      <c r="W676" s="33"/>
      <c r="X676" s="33"/>
      <c r="Y676" s="33"/>
      <c r="Z676" s="33"/>
      <c r="AA676" s="33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3"/>
      <c r="V677" s="33"/>
      <c r="W677" s="33"/>
      <c r="X677" s="33"/>
      <c r="Y677" s="33"/>
      <c r="Z677" s="33"/>
      <c r="AA677" s="33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3"/>
      <c r="V678" s="33"/>
      <c r="W678" s="33"/>
      <c r="X678" s="33"/>
      <c r="Y678" s="33"/>
      <c r="Z678" s="33"/>
      <c r="AA678" s="33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3"/>
      <c r="V679" s="33"/>
      <c r="W679" s="33"/>
      <c r="X679" s="33"/>
      <c r="Y679" s="33"/>
      <c r="Z679" s="33"/>
      <c r="AA679" s="33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3"/>
      <c r="V680" s="33"/>
      <c r="W680" s="33"/>
      <c r="X680" s="33"/>
      <c r="Y680" s="33"/>
      <c r="Z680" s="33"/>
      <c r="AA680" s="33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3"/>
      <c r="V681" s="33"/>
      <c r="W681" s="33"/>
      <c r="X681" s="33"/>
      <c r="Y681" s="33"/>
      <c r="Z681" s="33"/>
      <c r="AA681" s="33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3"/>
      <c r="V682" s="33"/>
      <c r="W682" s="33"/>
      <c r="X682" s="33"/>
      <c r="Y682" s="33"/>
      <c r="Z682" s="33"/>
      <c r="AA682" s="33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3"/>
      <c r="V683" s="33"/>
      <c r="W683" s="33"/>
      <c r="X683" s="33"/>
      <c r="Y683" s="33"/>
      <c r="Z683" s="33"/>
      <c r="AA683" s="33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3"/>
      <c r="V684" s="33"/>
      <c r="W684" s="33"/>
      <c r="X684" s="33"/>
      <c r="Y684" s="33"/>
      <c r="Z684" s="33"/>
      <c r="AA684" s="33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3"/>
      <c r="V685" s="33"/>
      <c r="W685" s="33"/>
      <c r="X685" s="33"/>
      <c r="Y685" s="33"/>
      <c r="Z685" s="33"/>
      <c r="AA685" s="33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3"/>
      <c r="V686" s="33"/>
      <c r="W686" s="33"/>
      <c r="X686" s="33"/>
      <c r="Y686" s="33"/>
      <c r="Z686" s="33"/>
      <c r="AA686" s="33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3"/>
      <c r="V687" s="33"/>
      <c r="W687" s="33"/>
      <c r="X687" s="33"/>
      <c r="Y687" s="33"/>
      <c r="Z687" s="33"/>
      <c r="AA687" s="33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3"/>
      <c r="V688" s="33"/>
      <c r="W688" s="33"/>
      <c r="X688" s="33"/>
      <c r="Y688" s="33"/>
      <c r="Z688" s="33"/>
      <c r="AA688" s="33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3"/>
      <c r="V689" s="33"/>
      <c r="W689" s="33"/>
      <c r="X689" s="33"/>
      <c r="Y689" s="33"/>
      <c r="Z689" s="33"/>
      <c r="AA689" s="33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3"/>
      <c r="V690" s="33"/>
      <c r="W690" s="33"/>
      <c r="X690" s="33"/>
      <c r="Y690" s="33"/>
      <c r="Z690" s="33"/>
      <c r="AA690" s="33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3"/>
      <c r="V691" s="33"/>
      <c r="W691" s="33"/>
      <c r="X691" s="33"/>
      <c r="Y691" s="33"/>
      <c r="Z691" s="33"/>
      <c r="AA691" s="33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3"/>
      <c r="V692" s="33"/>
      <c r="W692" s="33"/>
      <c r="X692" s="33"/>
      <c r="Y692" s="33"/>
      <c r="Z692" s="33"/>
      <c r="AA692" s="33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3"/>
      <c r="V693" s="33"/>
      <c r="W693" s="33"/>
      <c r="X693" s="33"/>
      <c r="Y693" s="33"/>
      <c r="Z693" s="33"/>
      <c r="AA693" s="33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3"/>
      <c r="V694" s="33"/>
      <c r="W694" s="33"/>
      <c r="X694" s="33"/>
      <c r="Y694" s="33"/>
      <c r="Z694" s="33"/>
      <c r="AA694" s="33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3"/>
      <c r="V695" s="33"/>
      <c r="W695" s="33"/>
      <c r="X695" s="33"/>
      <c r="Y695" s="33"/>
      <c r="Z695" s="33"/>
      <c r="AA695" s="33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3"/>
      <c r="V696" s="33"/>
      <c r="W696" s="33"/>
      <c r="X696" s="33"/>
      <c r="Y696" s="33"/>
      <c r="Z696" s="33"/>
      <c r="AA696" s="33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3"/>
      <c r="V697" s="33"/>
      <c r="W697" s="33"/>
      <c r="X697" s="33"/>
      <c r="Y697" s="33"/>
      <c r="Z697" s="33"/>
      <c r="AA697" s="33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3"/>
      <c r="V698" s="33"/>
      <c r="W698" s="33"/>
      <c r="X698" s="33"/>
      <c r="Y698" s="33"/>
      <c r="Z698" s="33"/>
      <c r="AA698" s="33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3"/>
      <c r="V699" s="33"/>
      <c r="W699" s="33"/>
      <c r="X699" s="33"/>
      <c r="Y699" s="33"/>
      <c r="Z699" s="33"/>
      <c r="AA699" s="33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3"/>
      <c r="V700" s="33"/>
      <c r="W700" s="33"/>
      <c r="X700" s="33"/>
      <c r="Y700" s="33"/>
      <c r="Z700" s="33"/>
      <c r="AA700" s="33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3"/>
      <c r="V701" s="33"/>
      <c r="W701" s="33"/>
      <c r="X701" s="33"/>
      <c r="Y701" s="33"/>
      <c r="Z701" s="33"/>
      <c r="AA701" s="33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3"/>
      <c r="V702" s="33"/>
      <c r="W702" s="33"/>
      <c r="X702" s="33"/>
      <c r="Y702" s="33"/>
      <c r="Z702" s="33"/>
      <c r="AA702" s="33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3"/>
      <c r="V703" s="33"/>
      <c r="W703" s="33"/>
      <c r="X703" s="33"/>
      <c r="Y703" s="33"/>
      <c r="Z703" s="33"/>
      <c r="AA703" s="33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3"/>
      <c r="V704" s="33"/>
      <c r="W704" s="33"/>
      <c r="X704" s="33"/>
      <c r="Y704" s="33"/>
      <c r="Z704" s="33"/>
      <c r="AA704" s="33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3"/>
      <c r="V705" s="33"/>
      <c r="W705" s="33"/>
      <c r="X705" s="33"/>
      <c r="Y705" s="33"/>
      <c r="Z705" s="33"/>
      <c r="AA705" s="33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3"/>
      <c r="V706" s="33"/>
      <c r="W706" s="33"/>
      <c r="X706" s="33"/>
      <c r="Y706" s="33"/>
      <c r="Z706" s="33"/>
      <c r="AA706" s="33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3"/>
      <c r="V707" s="33"/>
      <c r="W707" s="33"/>
      <c r="X707" s="33"/>
      <c r="Y707" s="33"/>
      <c r="Z707" s="33"/>
      <c r="AA707" s="33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3"/>
      <c r="V708" s="33"/>
      <c r="W708" s="33"/>
      <c r="X708" s="33"/>
      <c r="Y708" s="33"/>
      <c r="Z708" s="33"/>
      <c r="AA708" s="33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3"/>
      <c r="V709" s="33"/>
      <c r="W709" s="33"/>
      <c r="X709" s="33"/>
      <c r="Y709" s="33"/>
      <c r="Z709" s="33"/>
      <c r="AA709" s="33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3"/>
      <c r="V710" s="33"/>
      <c r="W710" s="33"/>
      <c r="X710" s="33"/>
      <c r="Y710" s="33"/>
      <c r="Z710" s="33"/>
      <c r="AA710" s="33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3"/>
      <c r="V711" s="33"/>
      <c r="W711" s="33"/>
      <c r="X711" s="33"/>
      <c r="Y711" s="33"/>
      <c r="Z711" s="33"/>
      <c r="AA711" s="33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3"/>
      <c r="V712" s="33"/>
      <c r="W712" s="33"/>
      <c r="X712" s="33"/>
      <c r="Y712" s="33"/>
      <c r="Z712" s="33"/>
      <c r="AA712" s="33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3"/>
      <c r="V713" s="33"/>
      <c r="W713" s="33"/>
      <c r="X713" s="33"/>
      <c r="Y713" s="33"/>
      <c r="Z713" s="33"/>
      <c r="AA713" s="33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3"/>
      <c r="V714" s="33"/>
      <c r="W714" s="33"/>
      <c r="X714" s="33"/>
      <c r="Y714" s="33"/>
      <c r="Z714" s="33"/>
      <c r="AA714" s="33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3"/>
      <c r="V715" s="33"/>
      <c r="W715" s="33"/>
      <c r="X715" s="33"/>
      <c r="Y715" s="33"/>
      <c r="Z715" s="33"/>
      <c r="AA715" s="33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3"/>
      <c r="V716" s="33"/>
      <c r="W716" s="33"/>
      <c r="X716" s="33"/>
      <c r="Y716" s="33"/>
      <c r="Z716" s="33"/>
      <c r="AA716" s="33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3"/>
      <c r="V717" s="33"/>
      <c r="W717" s="33"/>
      <c r="X717" s="33"/>
      <c r="Y717" s="33"/>
      <c r="Z717" s="33"/>
      <c r="AA717" s="33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3"/>
      <c r="V718" s="33"/>
      <c r="W718" s="33"/>
      <c r="X718" s="33"/>
      <c r="Y718" s="33"/>
      <c r="Z718" s="33"/>
      <c r="AA718" s="33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3"/>
      <c r="V719" s="33"/>
      <c r="W719" s="33"/>
      <c r="X719" s="33"/>
      <c r="Y719" s="33"/>
      <c r="Z719" s="33"/>
      <c r="AA719" s="33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3"/>
      <c r="V720" s="33"/>
      <c r="W720" s="33"/>
      <c r="X720" s="33"/>
      <c r="Y720" s="33"/>
      <c r="Z720" s="33"/>
      <c r="AA720" s="33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3"/>
      <c r="V721" s="33"/>
      <c r="W721" s="33"/>
      <c r="X721" s="33"/>
      <c r="Y721" s="33"/>
      <c r="Z721" s="33"/>
      <c r="AA721" s="33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3"/>
      <c r="V722" s="33"/>
      <c r="W722" s="33"/>
      <c r="X722" s="33"/>
      <c r="Y722" s="33"/>
      <c r="Z722" s="33"/>
      <c r="AA722" s="33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3"/>
      <c r="V723" s="33"/>
      <c r="W723" s="33"/>
      <c r="X723" s="33"/>
      <c r="Y723" s="33"/>
      <c r="Z723" s="33"/>
      <c r="AA723" s="33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3"/>
      <c r="V724" s="33"/>
      <c r="W724" s="33"/>
      <c r="X724" s="33"/>
      <c r="Y724" s="33"/>
      <c r="Z724" s="33"/>
      <c r="AA724" s="33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3"/>
      <c r="V725" s="33"/>
      <c r="W725" s="33"/>
      <c r="X725" s="33"/>
      <c r="Y725" s="33"/>
      <c r="Z725" s="33"/>
      <c r="AA725" s="33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3"/>
      <c r="V726" s="33"/>
      <c r="W726" s="33"/>
      <c r="X726" s="33"/>
      <c r="Y726" s="33"/>
      <c r="Z726" s="33"/>
      <c r="AA726" s="33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3"/>
      <c r="V727" s="33"/>
      <c r="W727" s="33"/>
      <c r="X727" s="33"/>
      <c r="Y727" s="33"/>
      <c r="Z727" s="33"/>
      <c r="AA727" s="33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3"/>
      <c r="V728" s="33"/>
      <c r="W728" s="33"/>
      <c r="X728" s="33"/>
      <c r="Y728" s="33"/>
      <c r="Z728" s="33"/>
      <c r="AA728" s="33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3"/>
      <c r="V729" s="33"/>
      <c r="W729" s="33"/>
      <c r="X729" s="33"/>
      <c r="Y729" s="33"/>
      <c r="Z729" s="33"/>
      <c r="AA729" s="33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3"/>
      <c r="V730" s="33"/>
      <c r="W730" s="33"/>
      <c r="X730" s="33"/>
      <c r="Y730" s="33"/>
      <c r="Z730" s="33"/>
      <c r="AA730" s="33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3"/>
      <c r="V731" s="33"/>
      <c r="W731" s="33"/>
      <c r="X731" s="33"/>
      <c r="Y731" s="33"/>
      <c r="Z731" s="33"/>
      <c r="AA731" s="33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3"/>
      <c r="V732" s="33"/>
      <c r="W732" s="33"/>
      <c r="X732" s="33"/>
      <c r="Y732" s="33"/>
      <c r="Z732" s="33"/>
      <c r="AA732" s="33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3"/>
      <c r="V733" s="33"/>
      <c r="W733" s="33"/>
      <c r="X733" s="33"/>
      <c r="Y733" s="33"/>
      <c r="Z733" s="33"/>
      <c r="AA733" s="33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3"/>
      <c r="V734" s="33"/>
      <c r="W734" s="33"/>
      <c r="X734" s="33"/>
      <c r="Y734" s="33"/>
      <c r="Z734" s="33"/>
      <c r="AA734" s="33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3"/>
      <c r="V735" s="33"/>
      <c r="W735" s="33"/>
      <c r="X735" s="33"/>
      <c r="Y735" s="33"/>
      <c r="Z735" s="33"/>
      <c r="AA735" s="33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3"/>
      <c r="V736" s="33"/>
      <c r="W736" s="33"/>
      <c r="X736" s="33"/>
      <c r="Y736" s="33"/>
      <c r="Z736" s="33"/>
      <c r="AA736" s="33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3"/>
      <c r="V737" s="33"/>
      <c r="W737" s="33"/>
      <c r="X737" s="33"/>
      <c r="Y737" s="33"/>
      <c r="Z737" s="33"/>
      <c r="AA737" s="33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3"/>
      <c r="V738" s="33"/>
      <c r="W738" s="33"/>
      <c r="X738" s="33"/>
      <c r="Y738" s="33"/>
      <c r="Z738" s="33"/>
      <c r="AA738" s="33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3"/>
      <c r="V739" s="33"/>
      <c r="W739" s="33"/>
      <c r="X739" s="33"/>
      <c r="Y739" s="33"/>
      <c r="Z739" s="33"/>
      <c r="AA739" s="33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3"/>
      <c r="V740" s="33"/>
      <c r="W740" s="33"/>
      <c r="X740" s="33"/>
      <c r="Y740" s="33"/>
      <c r="Z740" s="33"/>
      <c r="AA740" s="33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3"/>
      <c r="V741" s="33"/>
      <c r="W741" s="33"/>
      <c r="X741" s="33"/>
      <c r="Y741" s="33"/>
      <c r="Z741" s="33"/>
      <c r="AA741" s="33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3"/>
      <c r="V742" s="33"/>
      <c r="W742" s="33"/>
      <c r="X742" s="33"/>
      <c r="Y742" s="33"/>
      <c r="Z742" s="33"/>
      <c r="AA742" s="33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3"/>
      <c r="V743" s="33"/>
      <c r="W743" s="33"/>
      <c r="X743" s="33"/>
      <c r="Y743" s="33"/>
      <c r="Z743" s="33"/>
      <c r="AA743" s="33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3"/>
      <c r="V744" s="33"/>
      <c r="W744" s="33"/>
      <c r="X744" s="33"/>
      <c r="Y744" s="33"/>
      <c r="Z744" s="33"/>
      <c r="AA744" s="33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3"/>
      <c r="V745" s="33"/>
      <c r="W745" s="33"/>
      <c r="X745" s="33"/>
      <c r="Y745" s="33"/>
      <c r="Z745" s="33"/>
      <c r="AA745" s="33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3"/>
      <c r="V746" s="33"/>
      <c r="W746" s="33"/>
      <c r="X746" s="33"/>
      <c r="Y746" s="33"/>
      <c r="Z746" s="33"/>
      <c r="AA746" s="33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3"/>
      <c r="V747" s="33"/>
      <c r="W747" s="33"/>
      <c r="X747" s="33"/>
      <c r="Y747" s="33"/>
      <c r="Z747" s="33"/>
      <c r="AA747" s="33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3"/>
      <c r="V748" s="33"/>
      <c r="W748" s="33"/>
      <c r="X748" s="33"/>
      <c r="Y748" s="33"/>
      <c r="Z748" s="33"/>
      <c r="AA748" s="33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3"/>
      <c r="V749" s="33"/>
      <c r="W749" s="33"/>
      <c r="X749" s="33"/>
      <c r="Y749" s="33"/>
      <c r="Z749" s="33"/>
      <c r="AA749" s="33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3"/>
      <c r="V750" s="33"/>
      <c r="W750" s="33"/>
      <c r="X750" s="33"/>
      <c r="Y750" s="33"/>
      <c r="Z750" s="33"/>
      <c r="AA750" s="33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3"/>
      <c r="V751" s="33"/>
      <c r="W751" s="33"/>
      <c r="X751" s="33"/>
      <c r="Y751" s="33"/>
      <c r="Z751" s="33"/>
      <c r="AA751" s="33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3"/>
      <c r="V752" s="33"/>
      <c r="W752" s="33"/>
      <c r="X752" s="33"/>
      <c r="Y752" s="33"/>
      <c r="Z752" s="33"/>
      <c r="AA752" s="33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3"/>
      <c r="V753" s="33"/>
      <c r="W753" s="33"/>
      <c r="X753" s="33"/>
      <c r="Y753" s="33"/>
      <c r="Z753" s="33"/>
      <c r="AA753" s="33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3"/>
      <c r="V754" s="33"/>
      <c r="W754" s="33"/>
      <c r="X754" s="33"/>
      <c r="Y754" s="33"/>
      <c r="Z754" s="33"/>
      <c r="AA754" s="33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3"/>
      <c r="V755" s="33"/>
      <c r="W755" s="33"/>
      <c r="X755" s="33"/>
      <c r="Y755" s="33"/>
      <c r="Z755" s="33"/>
      <c r="AA755" s="33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3"/>
      <c r="V756" s="33"/>
      <c r="W756" s="33"/>
      <c r="X756" s="33"/>
      <c r="Y756" s="33"/>
      <c r="Z756" s="33"/>
      <c r="AA756" s="33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3"/>
      <c r="V757" s="33"/>
      <c r="W757" s="33"/>
      <c r="X757" s="33"/>
      <c r="Y757" s="33"/>
      <c r="Z757" s="33"/>
      <c r="AA757" s="33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3"/>
      <c r="V758" s="33"/>
      <c r="W758" s="33"/>
      <c r="X758" s="33"/>
      <c r="Y758" s="33"/>
      <c r="Z758" s="33"/>
      <c r="AA758" s="33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3"/>
      <c r="V759" s="33"/>
      <c r="W759" s="33"/>
      <c r="X759" s="33"/>
      <c r="Y759" s="33"/>
      <c r="Z759" s="33"/>
      <c r="AA759" s="33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3"/>
      <c r="V760" s="33"/>
      <c r="W760" s="33"/>
      <c r="X760" s="33"/>
      <c r="Y760" s="33"/>
      <c r="Z760" s="33"/>
      <c r="AA760" s="33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3"/>
      <c r="V761" s="33"/>
      <c r="W761" s="33"/>
      <c r="X761" s="33"/>
      <c r="Y761" s="33"/>
      <c r="Z761" s="33"/>
      <c r="AA761" s="33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3"/>
      <c r="V762" s="33"/>
      <c r="W762" s="33"/>
      <c r="X762" s="33"/>
      <c r="Y762" s="33"/>
      <c r="Z762" s="33"/>
      <c r="AA762" s="33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3"/>
      <c r="V763" s="33"/>
      <c r="W763" s="33"/>
      <c r="X763" s="33"/>
      <c r="Y763" s="33"/>
      <c r="Z763" s="33"/>
      <c r="AA763" s="33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3"/>
      <c r="V764" s="33"/>
      <c r="W764" s="33"/>
      <c r="X764" s="33"/>
      <c r="Y764" s="33"/>
      <c r="Z764" s="33"/>
      <c r="AA764" s="33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3"/>
      <c r="V765" s="33"/>
      <c r="W765" s="33"/>
      <c r="X765" s="33"/>
      <c r="Y765" s="33"/>
      <c r="Z765" s="33"/>
      <c r="AA765" s="33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3"/>
      <c r="V766" s="33"/>
      <c r="W766" s="33"/>
      <c r="X766" s="33"/>
      <c r="Y766" s="33"/>
      <c r="Z766" s="33"/>
      <c r="AA766" s="33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3"/>
      <c r="V767" s="33"/>
      <c r="W767" s="33"/>
      <c r="X767" s="33"/>
      <c r="Y767" s="33"/>
      <c r="Z767" s="33"/>
      <c r="AA767" s="33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3"/>
      <c r="V768" s="33"/>
      <c r="W768" s="33"/>
      <c r="X768" s="33"/>
      <c r="Y768" s="33"/>
      <c r="Z768" s="33"/>
      <c r="AA768" s="33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3"/>
      <c r="V769" s="33"/>
      <c r="W769" s="33"/>
      <c r="X769" s="33"/>
      <c r="Y769" s="33"/>
      <c r="Z769" s="33"/>
      <c r="AA769" s="33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3"/>
      <c r="V770" s="33"/>
      <c r="W770" s="33"/>
      <c r="X770" s="33"/>
      <c r="Y770" s="33"/>
      <c r="Z770" s="33"/>
      <c r="AA770" s="33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3"/>
      <c r="V771" s="33"/>
      <c r="W771" s="33"/>
      <c r="X771" s="33"/>
      <c r="Y771" s="33"/>
      <c r="Z771" s="33"/>
      <c r="AA771" s="33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3"/>
      <c r="V772" s="33"/>
      <c r="W772" s="33"/>
      <c r="X772" s="33"/>
      <c r="Y772" s="33"/>
      <c r="Z772" s="33"/>
      <c r="AA772" s="33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3"/>
      <c r="V773" s="33"/>
      <c r="W773" s="33"/>
      <c r="X773" s="33"/>
      <c r="Y773" s="33"/>
      <c r="Z773" s="33"/>
      <c r="AA773" s="33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3"/>
      <c r="V774" s="33"/>
      <c r="W774" s="33"/>
      <c r="X774" s="33"/>
      <c r="Y774" s="33"/>
      <c r="Z774" s="33"/>
      <c r="AA774" s="33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3"/>
      <c r="V775" s="33"/>
      <c r="W775" s="33"/>
      <c r="X775" s="33"/>
      <c r="Y775" s="33"/>
      <c r="Z775" s="33"/>
      <c r="AA775" s="33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3"/>
      <c r="V776" s="33"/>
      <c r="W776" s="33"/>
      <c r="X776" s="33"/>
      <c r="Y776" s="33"/>
      <c r="Z776" s="33"/>
      <c r="AA776" s="33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3"/>
      <c r="V777" s="33"/>
      <c r="W777" s="33"/>
      <c r="X777" s="33"/>
      <c r="Y777" s="33"/>
      <c r="Z777" s="33"/>
      <c r="AA777" s="33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3"/>
      <c r="V778" s="33"/>
      <c r="W778" s="33"/>
      <c r="X778" s="33"/>
      <c r="Y778" s="33"/>
      <c r="Z778" s="33"/>
      <c r="AA778" s="33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3"/>
      <c r="V779" s="33"/>
      <c r="W779" s="33"/>
      <c r="X779" s="33"/>
      <c r="Y779" s="33"/>
      <c r="Z779" s="33"/>
      <c r="AA779" s="33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3"/>
      <c r="V780" s="33"/>
      <c r="W780" s="33"/>
      <c r="X780" s="33"/>
      <c r="Y780" s="33"/>
      <c r="Z780" s="33"/>
      <c r="AA780" s="33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3"/>
      <c r="V781" s="33"/>
      <c r="W781" s="33"/>
      <c r="X781" s="33"/>
      <c r="Y781" s="33"/>
      <c r="Z781" s="33"/>
      <c r="AA781" s="33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3"/>
      <c r="V782" s="33"/>
      <c r="W782" s="33"/>
      <c r="X782" s="33"/>
      <c r="Y782" s="33"/>
      <c r="Z782" s="33"/>
      <c r="AA782" s="33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3"/>
      <c r="V783" s="33"/>
      <c r="W783" s="33"/>
      <c r="X783" s="33"/>
      <c r="Y783" s="33"/>
      <c r="Z783" s="33"/>
      <c r="AA783" s="33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3"/>
      <c r="V784" s="33"/>
      <c r="W784" s="33"/>
      <c r="X784" s="33"/>
      <c r="Y784" s="33"/>
      <c r="Z784" s="33"/>
      <c r="AA784" s="33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3"/>
      <c r="V785" s="33"/>
      <c r="W785" s="33"/>
      <c r="X785" s="33"/>
      <c r="Y785" s="33"/>
      <c r="Z785" s="33"/>
      <c r="AA785" s="33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3"/>
      <c r="V786" s="33"/>
      <c r="W786" s="33"/>
      <c r="X786" s="33"/>
      <c r="Y786" s="33"/>
      <c r="Z786" s="33"/>
      <c r="AA786" s="33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3"/>
      <c r="V787" s="33"/>
      <c r="W787" s="33"/>
      <c r="X787" s="33"/>
      <c r="Y787" s="33"/>
      <c r="Z787" s="33"/>
      <c r="AA787" s="33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3"/>
      <c r="V788" s="33"/>
      <c r="W788" s="33"/>
      <c r="X788" s="33"/>
      <c r="Y788" s="33"/>
      <c r="Z788" s="33"/>
      <c r="AA788" s="33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3"/>
      <c r="V789" s="33"/>
      <c r="W789" s="33"/>
      <c r="X789" s="33"/>
      <c r="Y789" s="33"/>
      <c r="Z789" s="33"/>
      <c r="AA789" s="33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3"/>
      <c r="V790" s="33"/>
      <c r="W790" s="33"/>
      <c r="X790" s="33"/>
      <c r="Y790" s="33"/>
      <c r="Z790" s="33"/>
      <c r="AA790" s="33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3"/>
      <c r="V791" s="33"/>
      <c r="W791" s="33"/>
      <c r="X791" s="33"/>
      <c r="Y791" s="33"/>
      <c r="Z791" s="33"/>
      <c r="AA791" s="33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3"/>
      <c r="V792" s="33"/>
      <c r="W792" s="33"/>
      <c r="X792" s="33"/>
      <c r="Y792" s="33"/>
      <c r="Z792" s="33"/>
      <c r="AA792" s="33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3"/>
      <c r="V793" s="33"/>
      <c r="W793" s="33"/>
      <c r="X793" s="33"/>
      <c r="Y793" s="33"/>
      <c r="Z793" s="33"/>
      <c r="AA793" s="33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3"/>
      <c r="V794" s="33"/>
      <c r="W794" s="33"/>
      <c r="X794" s="33"/>
      <c r="Y794" s="33"/>
      <c r="Z794" s="33"/>
      <c r="AA794" s="33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3"/>
      <c r="V795" s="33"/>
      <c r="W795" s="33"/>
      <c r="X795" s="33"/>
      <c r="Y795" s="33"/>
      <c r="Z795" s="33"/>
      <c r="AA795" s="33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3"/>
      <c r="V796" s="33"/>
      <c r="W796" s="33"/>
      <c r="X796" s="33"/>
      <c r="Y796" s="33"/>
      <c r="Z796" s="33"/>
      <c r="AA796" s="33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3"/>
      <c r="V797" s="33"/>
      <c r="W797" s="33"/>
      <c r="X797" s="33"/>
      <c r="Y797" s="33"/>
      <c r="Z797" s="33"/>
      <c r="AA797" s="33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3"/>
      <c r="V798" s="33"/>
      <c r="W798" s="33"/>
      <c r="X798" s="33"/>
      <c r="Y798" s="33"/>
      <c r="Z798" s="33"/>
      <c r="AA798" s="33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3"/>
      <c r="V799" s="33"/>
      <c r="W799" s="33"/>
      <c r="X799" s="33"/>
      <c r="Y799" s="33"/>
      <c r="Z799" s="33"/>
      <c r="AA799" s="33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3"/>
      <c r="V800" s="33"/>
      <c r="W800" s="33"/>
      <c r="X800" s="33"/>
      <c r="Y800" s="33"/>
      <c r="Z800" s="33"/>
      <c r="AA800" s="33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3"/>
      <c r="V801" s="33"/>
      <c r="W801" s="33"/>
      <c r="X801" s="33"/>
      <c r="Y801" s="33"/>
      <c r="Z801" s="33"/>
      <c r="AA801" s="33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3"/>
      <c r="V802" s="33"/>
      <c r="W802" s="33"/>
      <c r="X802" s="33"/>
      <c r="Y802" s="33"/>
      <c r="Z802" s="33"/>
      <c r="AA802" s="33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3"/>
      <c r="V803" s="33"/>
      <c r="W803" s="33"/>
      <c r="X803" s="33"/>
      <c r="Y803" s="33"/>
      <c r="Z803" s="33"/>
      <c r="AA803" s="33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3"/>
      <c r="V804" s="33"/>
      <c r="W804" s="33"/>
      <c r="X804" s="33"/>
      <c r="Y804" s="33"/>
      <c r="Z804" s="33"/>
      <c r="AA804" s="33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3"/>
      <c r="V805" s="33"/>
      <c r="W805" s="33"/>
      <c r="X805" s="33"/>
      <c r="Y805" s="33"/>
      <c r="Z805" s="33"/>
      <c r="AA805" s="33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3"/>
      <c r="V806" s="33"/>
      <c r="W806" s="33"/>
      <c r="X806" s="33"/>
      <c r="Y806" s="33"/>
      <c r="Z806" s="33"/>
      <c r="AA806" s="33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3"/>
      <c r="V807" s="33"/>
      <c r="W807" s="33"/>
      <c r="X807" s="33"/>
      <c r="Y807" s="33"/>
      <c r="Z807" s="33"/>
      <c r="AA807" s="33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3"/>
      <c r="V808" s="33"/>
      <c r="W808" s="33"/>
      <c r="X808" s="33"/>
      <c r="Y808" s="33"/>
      <c r="Z808" s="33"/>
      <c r="AA808" s="33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3"/>
      <c r="V809" s="33"/>
      <c r="W809" s="33"/>
      <c r="X809" s="33"/>
      <c r="Y809" s="33"/>
      <c r="Z809" s="33"/>
      <c r="AA809" s="33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3"/>
      <c r="V810" s="33"/>
      <c r="W810" s="33"/>
      <c r="X810" s="33"/>
      <c r="Y810" s="33"/>
      <c r="Z810" s="33"/>
      <c r="AA810" s="33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3"/>
      <c r="V811" s="33"/>
      <c r="W811" s="33"/>
      <c r="X811" s="33"/>
      <c r="Y811" s="33"/>
      <c r="Z811" s="33"/>
      <c r="AA811" s="33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3"/>
      <c r="V812" s="33"/>
      <c r="W812" s="33"/>
      <c r="X812" s="33"/>
      <c r="Y812" s="33"/>
      <c r="Z812" s="33"/>
      <c r="AA812" s="33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3"/>
      <c r="V813" s="33"/>
      <c r="W813" s="33"/>
      <c r="X813" s="33"/>
      <c r="Y813" s="33"/>
      <c r="Z813" s="33"/>
      <c r="AA813" s="33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3"/>
      <c r="V814" s="33"/>
      <c r="W814" s="33"/>
      <c r="X814" s="33"/>
      <c r="Y814" s="33"/>
      <c r="Z814" s="33"/>
      <c r="AA814" s="33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3"/>
      <c r="V815" s="33"/>
      <c r="W815" s="33"/>
      <c r="X815" s="33"/>
      <c r="Y815" s="33"/>
      <c r="Z815" s="33"/>
      <c r="AA815" s="33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3"/>
      <c r="V816" s="33"/>
      <c r="W816" s="33"/>
      <c r="X816" s="33"/>
      <c r="Y816" s="33"/>
      <c r="Z816" s="33"/>
      <c r="AA816" s="33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3"/>
      <c r="V817" s="33"/>
      <c r="W817" s="33"/>
      <c r="X817" s="33"/>
      <c r="Y817" s="33"/>
      <c r="Z817" s="33"/>
      <c r="AA817" s="33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3"/>
      <c r="V818" s="33"/>
      <c r="W818" s="33"/>
      <c r="X818" s="33"/>
      <c r="Y818" s="33"/>
      <c r="Z818" s="33"/>
      <c r="AA818" s="33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3"/>
      <c r="V819" s="33"/>
      <c r="W819" s="33"/>
      <c r="X819" s="33"/>
      <c r="Y819" s="33"/>
      <c r="Z819" s="33"/>
      <c r="AA819" s="33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3"/>
      <c r="V820" s="33"/>
      <c r="W820" s="33"/>
      <c r="X820" s="33"/>
      <c r="Y820" s="33"/>
      <c r="Z820" s="33"/>
      <c r="AA820" s="33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3"/>
      <c r="V821" s="33"/>
      <c r="W821" s="33"/>
      <c r="X821" s="33"/>
      <c r="Y821" s="33"/>
      <c r="Z821" s="33"/>
      <c r="AA821" s="33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3"/>
      <c r="V822" s="33"/>
      <c r="W822" s="33"/>
      <c r="X822" s="33"/>
      <c r="Y822" s="33"/>
      <c r="Z822" s="33"/>
      <c r="AA822" s="33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3"/>
      <c r="V823" s="33"/>
      <c r="W823" s="33"/>
      <c r="X823" s="33"/>
      <c r="Y823" s="33"/>
      <c r="Z823" s="33"/>
      <c r="AA823" s="33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3"/>
      <c r="V824" s="33"/>
      <c r="W824" s="33"/>
      <c r="X824" s="33"/>
      <c r="Y824" s="33"/>
      <c r="Z824" s="33"/>
      <c r="AA824" s="33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3"/>
      <c r="V825" s="33"/>
      <c r="W825" s="33"/>
      <c r="X825" s="33"/>
      <c r="Y825" s="33"/>
      <c r="Z825" s="33"/>
      <c r="AA825" s="33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3"/>
      <c r="V826" s="33"/>
      <c r="W826" s="33"/>
      <c r="X826" s="33"/>
      <c r="Y826" s="33"/>
      <c r="Z826" s="33"/>
      <c r="AA826" s="33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3"/>
      <c r="V827" s="33"/>
      <c r="W827" s="33"/>
      <c r="X827" s="33"/>
      <c r="Y827" s="33"/>
      <c r="Z827" s="33"/>
      <c r="AA827" s="33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3"/>
      <c r="V828" s="33"/>
      <c r="W828" s="33"/>
      <c r="X828" s="33"/>
      <c r="Y828" s="33"/>
      <c r="Z828" s="33"/>
      <c r="AA828" s="33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3"/>
      <c r="V829" s="33"/>
      <c r="W829" s="33"/>
      <c r="X829" s="33"/>
      <c r="Y829" s="33"/>
      <c r="Z829" s="33"/>
      <c r="AA829" s="33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3"/>
      <c r="V830" s="33"/>
      <c r="W830" s="33"/>
      <c r="X830" s="33"/>
      <c r="Y830" s="33"/>
      <c r="Z830" s="33"/>
      <c r="AA830" s="33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3"/>
      <c r="V831" s="33"/>
      <c r="W831" s="33"/>
      <c r="X831" s="33"/>
      <c r="Y831" s="33"/>
      <c r="Z831" s="33"/>
      <c r="AA831" s="33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3"/>
      <c r="V832" s="33"/>
      <c r="W832" s="33"/>
      <c r="X832" s="33"/>
      <c r="Y832" s="33"/>
      <c r="Z832" s="33"/>
      <c r="AA832" s="33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3"/>
      <c r="V833" s="33"/>
      <c r="W833" s="33"/>
      <c r="X833" s="33"/>
      <c r="Y833" s="33"/>
      <c r="Z833" s="33"/>
      <c r="AA833" s="33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3"/>
      <c r="V834" s="33"/>
      <c r="W834" s="33"/>
      <c r="X834" s="33"/>
      <c r="Y834" s="33"/>
      <c r="Z834" s="33"/>
      <c r="AA834" s="33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3"/>
      <c r="V835" s="33"/>
      <c r="W835" s="33"/>
      <c r="X835" s="33"/>
      <c r="Y835" s="33"/>
      <c r="Z835" s="33"/>
      <c r="AA835" s="33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3"/>
      <c r="V836" s="33"/>
      <c r="W836" s="33"/>
      <c r="X836" s="33"/>
      <c r="Y836" s="33"/>
      <c r="Z836" s="33"/>
      <c r="AA836" s="33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3"/>
      <c r="V837" s="33"/>
      <c r="W837" s="33"/>
      <c r="X837" s="33"/>
      <c r="Y837" s="33"/>
      <c r="Z837" s="33"/>
      <c r="AA837" s="33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3"/>
      <c r="V838" s="33"/>
      <c r="W838" s="33"/>
      <c r="X838" s="33"/>
      <c r="Y838" s="33"/>
      <c r="Z838" s="33"/>
      <c r="AA838" s="33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3"/>
      <c r="V839" s="33"/>
      <c r="W839" s="33"/>
      <c r="X839" s="33"/>
      <c r="Y839" s="33"/>
      <c r="Z839" s="33"/>
      <c r="AA839" s="33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3"/>
      <c r="V840" s="33"/>
      <c r="W840" s="33"/>
      <c r="X840" s="33"/>
      <c r="Y840" s="33"/>
      <c r="Z840" s="33"/>
      <c r="AA840" s="33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3"/>
      <c r="V841" s="33"/>
      <c r="W841" s="33"/>
      <c r="X841" s="33"/>
      <c r="Y841" s="33"/>
      <c r="Z841" s="33"/>
      <c r="AA841" s="33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3"/>
      <c r="V842" s="33"/>
      <c r="W842" s="33"/>
      <c r="X842" s="33"/>
      <c r="Y842" s="33"/>
      <c r="Z842" s="33"/>
      <c r="AA842" s="33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3"/>
      <c r="V843" s="33"/>
      <c r="W843" s="33"/>
      <c r="X843" s="33"/>
      <c r="Y843" s="33"/>
      <c r="Z843" s="33"/>
      <c r="AA843" s="33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3"/>
      <c r="V844" s="33"/>
      <c r="W844" s="33"/>
      <c r="X844" s="33"/>
      <c r="Y844" s="33"/>
      <c r="Z844" s="33"/>
      <c r="AA844" s="33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3"/>
      <c r="V845" s="33"/>
      <c r="W845" s="33"/>
      <c r="X845" s="33"/>
      <c r="Y845" s="33"/>
      <c r="Z845" s="33"/>
      <c r="AA845" s="33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3"/>
      <c r="V846" s="33"/>
      <c r="W846" s="33"/>
      <c r="X846" s="33"/>
      <c r="Y846" s="33"/>
      <c r="Z846" s="33"/>
      <c r="AA846" s="33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3"/>
      <c r="V847" s="33"/>
      <c r="W847" s="33"/>
      <c r="X847" s="33"/>
      <c r="Y847" s="33"/>
      <c r="Z847" s="33"/>
      <c r="AA847" s="33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3"/>
      <c r="V848" s="33"/>
      <c r="W848" s="33"/>
      <c r="X848" s="33"/>
      <c r="Y848" s="33"/>
      <c r="Z848" s="33"/>
      <c r="AA848" s="33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3"/>
      <c r="V849" s="33"/>
      <c r="W849" s="33"/>
      <c r="X849" s="33"/>
      <c r="Y849" s="33"/>
      <c r="Z849" s="33"/>
      <c r="AA849" s="33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3"/>
      <c r="V850" s="33"/>
      <c r="W850" s="33"/>
      <c r="X850" s="33"/>
      <c r="Y850" s="33"/>
      <c r="Z850" s="33"/>
      <c r="AA850" s="33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3"/>
      <c r="V851" s="33"/>
      <c r="W851" s="33"/>
      <c r="X851" s="33"/>
      <c r="Y851" s="33"/>
      <c r="Z851" s="33"/>
      <c r="AA851" s="33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3"/>
      <c r="V852" s="33"/>
      <c r="W852" s="33"/>
      <c r="X852" s="33"/>
      <c r="Y852" s="33"/>
      <c r="Z852" s="33"/>
      <c r="AA852" s="33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3"/>
      <c r="V853" s="33"/>
      <c r="W853" s="33"/>
      <c r="X853" s="33"/>
      <c r="Y853" s="33"/>
      <c r="Z853" s="33"/>
      <c r="AA853" s="33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3"/>
      <c r="V854" s="33"/>
      <c r="W854" s="33"/>
      <c r="X854" s="33"/>
      <c r="Y854" s="33"/>
      <c r="Z854" s="33"/>
      <c r="AA854" s="33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3"/>
      <c r="V855" s="33"/>
      <c r="W855" s="33"/>
      <c r="X855" s="33"/>
      <c r="Y855" s="33"/>
      <c r="Z855" s="33"/>
      <c r="AA855" s="33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3"/>
      <c r="V856" s="33"/>
      <c r="W856" s="33"/>
      <c r="X856" s="33"/>
      <c r="Y856" s="33"/>
      <c r="Z856" s="33"/>
      <c r="AA856" s="33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3"/>
      <c r="V857" s="33"/>
      <c r="W857" s="33"/>
      <c r="X857" s="33"/>
      <c r="Y857" s="33"/>
      <c r="Z857" s="33"/>
      <c r="AA857" s="33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3"/>
      <c r="V858" s="33"/>
      <c r="W858" s="33"/>
      <c r="X858" s="33"/>
      <c r="Y858" s="33"/>
      <c r="Z858" s="33"/>
      <c r="AA858" s="33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3"/>
      <c r="V859" s="33"/>
      <c r="W859" s="33"/>
      <c r="X859" s="33"/>
      <c r="Y859" s="33"/>
      <c r="Z859" s="33"/>
      <c r="AA859" s="33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3"/>
      <c r="V860" s="33"/>
      <c r="W860" s="33"/>
      <c r="X860" s="33"/>
      <c r="Y860" s="33"/>
      <c r="Z860" s="33"/>
      <c r="AA860" s="33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3"/>
      <c r="V861" s="33"/>
      <c r="W861" s="33"/>
      <c r="X861" s="33"/>
      <c r="Y861" s="33"/>
      <c r="Z861" s="33"/>
      <c r="AA861" s="33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3"/>
      <c r="V862" s="33"/>
      <c r="W862" s="33"/>
      <c r="X862" s="33"/>
      <c r="Y862" s="33"/>
      <c r="Z862" s="33"/>
      <c r="AA862" s="33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3"/>
      <c r="V863" s="33"/>
      <c r="W863" s="33"/>
      <c r="X863" s="33"/>
      <c r="Y863" s="33"/>
      <c r="Z863" s="33"/>
      <c r="AA863" s="33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3"/>
      <c r="V864" s="33"/>
      <c r="W864" s="33"/>
      <c r="X864" s="33"/>
      <c r="Y864" s="33"/>
      <c r="Z864" s="33"/>
      <c r="AA864" s="33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3"/>
      <c r="V865" s="33"/>
      <c r="W865" s="33"/>
      <c r="X865" s="33"/>
      <c r="Y865" s="33"/>
      <c r="Z865" s="33"/>
      <c r="AA865" s="33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3"/>
      <c r="V866" s="33"/>
      <c r="W866" s="33"/>
      <c r="X866" s="33"/>
      <c r="Y866" s="33"/>
      <c r="Z866" s="33"/>
      <c r="AA866" s="33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3"/>
      <c r="V867" s="33"/>
      <c r="W867" s="33"/>
      <c r="X867" s="33"/>
      <c r="Y867" s="33"/>
      <c r="Z867" s="33"/>
      <c r="AA867" s="33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3"/>
      <c r="V868" s="33"/>
      <c r="W868" s="33"/>
      <c r="X868" s="33"/>
      <c r="Y868" s="33"/>
      <c r="Z868" s="33"/>
      <c r="AA868" s="33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3"/>
      <c r="V869" s="33"/>
      <c r="W869" s="33"/>
      <c r="X869" s="33"/>
      <c r="Y869" s="33"/>
      <c r="Z869" s="33"/>
      <c r="AA869" s="33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3"/>
      <c r="V870" s="33"/>
      <c r="W870" s="33"/>
      <c r="X870" s="33"/>
      <c r="Y870" s="33"/>
      <c r="Z870" s="33"/>
      <c r="AA870" s="33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3"/>
      <c r="V871" s="33"/>
      <c r="W871" s="33"/>
      <c r="X871" s="33"/>
      <c r="Y871" s="33"/>
      <c r="Z871" s="33"/>
      <c r="AA871" s="33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3"/>
      <c r="V872" s="33"/>
      <c r="W872" s="33"/>
      <c r="X872" s="33"/>
      <c r="Y872" s="33"/>
      <c r="Z872" s="33"/>
      <c r="AA872" s="33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3"/>
      <c r="V873" s="33"/>
      <c r="W873" s="33"/>
      <c r="X873" s="33"/>
      <c r="Y873" s="33"/>
      <c r="Z873" s="33"/>
      <c r="AA873" s="33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3"/>
      <c r="V874" s="33"/>
      <c r="W874" s="33"/>
      <c r="X874" s="33"/>
      <c r="Y874" s="33"/>
      <c r="Z874" s="33"/>
      <c r="AA874" s="33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3"/>
      <c r="V875" s="33"/>
      <c r="W875" s="33"/>
      <c r="X875" s="33"/>
      <c r="Y875" s="33"/>
      <c r="Z875" s="33"/>
      <c r="AA875" s="33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3"/>
      <c r="V876" s="33"/>
      <c r="W876" s="33"/>
      <c r="X876" s="33"/>
      <c r="Y876" s="33"/>
      <c r="Z876" s="33"/>
      <c r="AA876" s="33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3"/>
      <c r="V877" s="33"/>
      <c r="W877" s="33"/>
      <c r="X877" s="33"/>
      <c r="Y877" s="33"/>
      <c r="Z877" s="33"/>
      <c r="AA877" s="33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3"/>
      <c r="V878" s="33"/>
      <c r="W878" s="33"/>
      <c r="X878" s="33"/>
      <c r="Y878" s="33"/>
      <c r="Z878" s="33"/>
      <c r="AA878" s="33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3"/>
      <c r="V879" s="33"/>
      <c r="W879" s="33"/>
      <c r="X879" s="33"/>
      <c r="Y879" s="33"/>
      <c r="Z879" s="33"/>
      <c r="AA879" s="33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3"/>
      <c r="V880" s="33"/>
      <c r="W880" s="33"/>
      <c r="X880" s="33"/>
      <c r="Y880" s="33"/>
      <c r="Z880" s="33"/>
      <c r="AA880" s="33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3"/>
      <c r="V881" s="33"/>
      <c r="W881" s="33"/>
      <c r="X881" s="33"/>
      <c r="Y881" s="33"/>
      <c r="Z881" s="33"/>
      <c r="AA881" s="33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3"/>
      <c r="V882" s="33"/>
      <c r="W882" s="33"/>
      <c r="X882" s="33"/>
      <c r="Y882" s="33"/>
      <c r="Z882" s="33"/>
      <c r="AA882" s="33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3"/>
      <c r="V883" s="33"/>
      <c r="W883" s="33"/>
      <c r="X883" s="33"/>
      <c r="Y883" s="33"/>
      <c r="Z883" s="33"/>
      <c r="AA883" s="33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3"/>
      <c r="V884" s="33"/>
      <c r="W884" s="33"/>
      <c r="X884" s="33"/>
      <c r="Y884" s="33"/>
      <c r="Z884" s="33"/>
      <c r="AA884" s="33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3"/>
      <c r="V885" s="33"/>
      <c r="W885" s="33"/>
      <c r="X885" s="33"/>
      <c r="Y885" s="33"/>
      <c r="Z885" s="33"/>
      <c r="AA885" s="33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3"/>
      <c r="V886" s="33"/>
      <c r="W886" s="33"/>
      <c r="X886" s="33"/>
      <c r="Y886" s="33"/>
      <c r="Z886" s="33"/>
      <c r="AA886" s="33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3"/>
      <c r="V887" s="33"/>
      <c r="W887" s="33"/>
      <c r="X887" s="33"/>
      <c r="Y887" s="33"/>
      <c r="Z887" s="33"/>
      <c r="AA887" s="33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3"/>
      <c r="V888" s="33"/>
      <c r="W888" s="33"/>
      <c r="X888" s="33"/>
      <c r="Y888" s="33"/>
      <c r="Z888" s="33"/>
      <c r="AA888" s="33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3"/>
      <c r="V889" s="33"/>
      <c r="W889" s="33"/>
      <c r="X889" s="33"/>
      <c r="Y889" s="33"/>
      <c r="Z889" s="33"/>
      <c r="AA889" s="33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3"/>
      <c r="V890" s="33"/>
      <c r="W890" s="33"/>
      <c r="X890" s="33"/>
      <c r="Y890" s="33"/>
      <c r="Z890" s="33"/>
      <c r="AA890" s="33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3"/>
      <c r="V891" s="33"/>
      <c r="W891" s="33"/>
      <c r="X891" s="33"/>
      <c r="Y891" s="33"/>
      <c r="Z891" s="33"/>
      <c r="AA891" s="33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3"/>
      <c r="V892" s="33"/>
      <c r="W892" s="33"/>
      <c r="X892" s="33"/>
      <c r="Y892" s="33"/>
      <c r="Z892" s="33"/>
      <c r="AA892" s="33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3"/>
      <c r="V893" s="33"/>
      <c r="W893" s="33"/>
      <c r="X893" s="33"/>
      <c r="Y893" s="33"/>
      <c r="Z893" s="33"/>
      <c r="AA893" s="33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3"/>
      <c r="V894" s="33"/>
      <c r="W894" s="33"/>
      <c r="X894" s="33"/>
      <c r="Y894" s="33"/>
      <c r="Z894" s="33"/>
      <c r="AA894" s="33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3"/>
      <c r="V895" s="33"/>
      <c r="W895" s="33"/>
      <c r="X895" s="33"/>
      <c r="Y895" s="33"/>
      <c r="Z895" s="33"/>
      <c r="AA895" s="33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3"/>
      <c r="V896" s="33"/>
      <c r="W896" s="33"/>
      <c r="X896" s="33"/>
      <c r="Y896" s="33"/>
      <c r="Z896" s="33"/>
      <c r="AA896" s="33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3"/>
      <c r="V897" s="33"/>
      <c r="W897" s="33"/>
      <c r="X897" s="33"/>
      <c r="Y897" s="33"/>
      <c r="Z897" s="33"/>
      <c r="AA897" s="33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3"/>
      <c r="V898" s="33"/>
      <c r="W898" s="33"/>
      <c r="X898" s="33"/>
      <c r="Y898" s="33"/>
      <c r="Z898" s="33"/>
      <c r="AA898" s="33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3"/>
      <c r="V899" s="33"/>
      <c r="W899" s="33"/>
      <c r="X899" s="33"/>
      <c r="Y899" s="33"/>
      <c r="Z899" s="33"/>
      <c r="AA899" s="33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3"/>
      <c r="V900" s="33"/>
      <c r="W900" s="33"/>
      <c r="X900" s="33"/>
      <c r="Y900" s="33"/>
      <c r="Z900" s="33"/>
      <c r="AA900" s="33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3"/>
      <c r="V901" s="33"/>
      <c r="W901" s="33"/>
      <c r="X901" s="33"/>
      <c r="Y901" s="33"/>
      <c r="Z901" s="33"/>
      <c r="AA901" s="33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3"/>
      <c r="V902" s="33"/>
      <c r="W902" s="33"/>
      <c r="X902" s="33"/>
      <c r="Y902" s="33"/>
      <c r="Z902" s="33"/>
      <c r="AA902" s="33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3"/>
      <c r="V903" s="33"/>
      <c r="W903" s="33"/>
      <c r="X903" s="33"/>
      <c r="Y903" s="33"/>
      <c r="Z903" s="33"/>
      <c r="AA903" s="33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3"/>
      <c r="V904" s="33"/>
      <c r="W904" s="33"/>
      <c r="X904" s="33"/>
      <c r="Y904" s="33"/>
      <c r="Z904" s="33"/>
      <c r="AA904" s="33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3"/>
      <c r="V905" s="33"/>
      <c r="W905" s="33"/>
      <c r="X905" s="33"/>
      <c r="Y905" s="33"/>
      <c r="Z905" s="33"/>
      <c r="AA905" s="33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3"/>
      <c r="V906" s="33"/>
      <c r="W906" s="33"/>
      <c r="X906" s="33"/>
      <c r="Y906" s="33"/>
      <c r="Z906" s="33"/>
      <c r="AA906" s="33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3"/>
      <c r="V907" s="33"/>
      <c r="W907" s="33"/>
      <c r="X907" s="33"/>
      <c r="Y907" s="33"/>
      <c r="Z907" s="33"/>
      <c r="AA907" s="33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3"/>
      <c r="V908" s="33"/>
      <c r="W908" s="33"/>
      <c r="X908" s="33"/>
      <c r="Y908" s="33"/>
      <c r="Z908" s="33"/>
      <c r="AA908" s="33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3"/>
      <c r="V909" s="33"/>
      <c r="W909" s="33"/>
      <c r="X909" s="33"/>
      <c r="Y909" s="33"/>
      <c r="Z909" s="33"/>
      <c r="AA909" s="33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3"/>
      <c r="V910" s="33"/>
      <c r="W910" s="33"/>
      <c r="X910" s="33"/>
      <c r="Y910" s="33"/>
      <c r="Z910" s="33"/>
      <c r="AA910" s="33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3"/>
      <c r="V911" s="33"/>
      <c r="W911" s="33"/>
      <c r="X911" s="33"/>
      <c r="Y911" s="33"/>
      <c r="Z911" s="33"/>
      <c r="AA911" s="33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3"/>
      <c r="V912" s="33"/>
      <c r="W912" s="33"/>
      <c r="X912" s="33"/>
      <c r="Y912" s="33"/>
      <c r="Z912" s="33"/>
      <c r="AA912" s="33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3"/>
      <c r="V913" s="33"/>
      <c r="W913" s="33"/>
      <c r="X913" s="33"/>
      <c r="Y913" s="33"/>
      <c r="Z913" s="33"/>
      <c r="AA913" s="33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3"/>
      <c r="V914" s="33"/>
      <c r="W914" s="33"/>
      <c r="X914" s="33"/>
      <c r="Y914" s="33"/>
      <c r="Z914" s="33"/>
      <c r="AA914" s="33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3"/>
      <c r="V915" s="33"/>
      <c r="W915" s="33"/>
      <c r="X915" s="33"/>
      <c r="Y915" s="33"/>
      <c r="Z915" s="33"/>
      <c r="AA915" s="33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3"/>
      <c r="V916" s="33"/>
      <c r="W916" s="33"/>
      <c r="X916" s="33"/>
      <c r="Y916" s="33"/>
      <c r="Z916" s="33"/>
      <c r="AA916" s="33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3"/>
      <c r="V917" s="33"/>
      <c r="W917" s="33"/>
      <c r="X917" s="33"/>
      <c r="Y917" s="33"/>
      <c r="Z917" s="33"/>
      <c r="AA917" s="33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3"/>
      <c r="V918" s="33"/>
      <c r="W918" s="33"/>
      <c r="X918" s="33"/>
      <c r="Y918" s="33"/>
      <c r="Z918" s="33"/>
      <c r="AA918" s="33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3"/>
      <c r="V919" s="33"/>
      <c r="W919" s="33"/>
      <c r="X919" s="33"/>
      <c r="Y919" s="33"/>
      <c r="Z919" s="33"/>
      <c r="AA919" s="33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3"/>
      <c r="V920" s="33"/>
      <c r="W920" s="33"/>
      <c r="X920" s="33"/>
      <c r="Y920" s="33"/>
      <c r="Z920" s="33"/>
      <c r="AA920" s="33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3"/>
      <c r="V921" s="33"/>
      <c r="W921" s="33"/>
      <c r="X921" s="33"/>
      <c r="Y921" s="33"/>
      <c r="Z921" s="33"/>
      <c r="AA921" s="33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3"/>
      <c r="V922" s="33"/>
      <c r="W922" s="33"/>
      <c r="X922" s="33"/>
      <c r="Y922" s="33"/>
      <c r="Z922" s="33"/>
      <c r="AA922" s="33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3"/>
      <c r="V923" s="33"/>
      <c r="W923" s="33"/>
      <c r="X923" s="33"/>
      <c r="Y923" s="33"/>
      <c r="Z923" s="33"/>
      <c r="AA923" s="33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3"/>
      <c r="V924" s="33"/>
      <c r="W924" s="33"/>
      <c r="X924" s="33"/>
      <c r="Y924" s="33"/>
      <c r="Z924" s="33"/>
      <c r="AA924" s="33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3"/>
      <c r="V925" s="33"/>
      <c r="W925" s="33"/>
      <c r="X925" s="33"/>
      <c r="Y925" s="33"/>
      <c r="Z925" s="33"/>
      <c r="AA925" s="33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3"/>
      <c r="V926" s="33"/>
      <c r="W926" s="33"/>
      <c r="X926" s="33"/>
      <c r="Y926" s="33"/>
      <c r="Z926" s="33"/>
      <c r="AA926" s="33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3"/>
      <c r="V927" s="33"/>
      <c r="W927" s="33"/>
      <c r="X927" s="33"/>
      <c r="Y927" s="33"/>
      <c r="Z927" s="33"/>
      <c r="AA927" s="33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3"/>
      <c r="V928" s="33"/>
      <c r="W928" s="33"/>
      <c r="X928" s="33"/>
      <c r="Y928" s="33"/>
      <c r="Z928" s="33"/>
      <c r="AA928" s="33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3"/>
      <c r="V929" s="33"/>
      <c r="W929" s="33"/>
      <c r="X929" s="33"/>
      <c r="Y929" s="33"/>
      <c r="Z929" s="33"/>
      <c r="AA929" s="33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3"/>
      <c r="V930" s="33"/>
      <c r="W930" s="33"/>
      <c r="X930" s="33"/>
      <c r="Y930" s="33"/>
      <c r="Z930" s="33"/>
      <c r="AA930" s="33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3"/>
      <c r="V931" s="33"/>
      <c r="W931" s="33"/>
      <c r="X931" s="33"/>
      <c r="Y931" s="33"/>
      <c r="Z931" s="33"/>
      <c r="AA931" s="33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3"/>
      <c r="V932" s="33"/>
      <c r="W932" s="33"/>
      <c r="X932" s="33"/>
      <c r="Y932" s="33"/>
      <c r="Z932" s="33"/>
      <c r="AA932" s="33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3"/>
      <c r="V933" s="33"/>
      <c r="W933" s="33"/>
      <c r="X933" s="33"/>
      <c r="Y933" s="33"/>
      <c r="Z933" s="33"/>
      <c r="AA933" s="33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3"/>
      <c r="V934" s="33"/>
      <c r="W934" s="33"/>
      <c r="X934" s="33"/>
      <c r="Y934" s="33"/>
      <c r="Z934" s="33"/>
      <c r="AA934" s="33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3"/>
      <c r="V935" s="33"/>
      <c r="W935" s="33"/>
      <c r="X935" s="33"/>
      <c r="Y935" s="33"/>
      <c r="Z935" s="33"/>
      <c r="AA935" s="33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3"/>
      <c r="V936" s="33"/>
      <c r="W936" s="33"/>
      <c r="X936" s="33"/>
      <c r="Y936" s="33"/>
      <c r="Z936" s="33"/>
      <c r="AA936" s="33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3"/>
      <c r="V937" s="33"/>
      <c r="W937" s="33"/>
      <c r="X937" s="33"/>
      <c r="Y937" s="33"/>
      <c r="Z937" s="33"/>
      <c r="AA937" s="33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3"/>
      <c r="V938" s="33"/>
      <c r="W938" s="33"/>
      <c r="X938" s="33"/>
      <c r="Y938" s="33"/>
      <c r="Z938" s="33"/>
      <c r="AA938" s="33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3"/>
      <c r="V939" s="33"/>
      <c r="W939" s="33"/>
      <c r="X939" s="33"/>
      <c r="Y939" s="33"/>
      <c r="Z939" s="33"/>
      <c r="AA939" s="33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3"/>
      <c r="V940" s="33"/>
      <c r="W940" s="33"/>
      <c r="X940" s="33"/>
      <c r="Y940" s="33"/>
      <c r="Z940" s="33"/>
      <c r="AA940" s="33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3"/>
      <c r="V941" s="33"/>
      <c r="W941" s="33"/>
      <c r="X941" s="33"/>
      <c r="Y941" s="33"/>
      <c r="Z941" s="33"/>
      <c r="AA941" s="33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3"/>
      <c r="V942" s="33"/>
      <c r="W942" s="33"/>
      <c r="X942" s="33"/>
      <c r="Y942" s="33"/>
      <c r="Z942" s="33"/>
      <c r="AA942" s="33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3"/>
      <c r="V943" s="33"/>
      <c r="W943" s="33"/>
      <c r="X943" s="33"/>
      <c r="Y943" s="33"/>
      <c r="Z943" s="33"/>
      <c r="AA943" s="33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3"/>
      <c r="V944" s="33"/>
      <c r="W944" s="33"/>
      <c r="X944" s="33"/>
      <c r="Y944" s="33"/>
      <c r="Z944" s="33"/>
      <c r="AA944" s="33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3"/>
      <c r="V945" s="33"/>
      <c r="W945" s="33"/>
      <c r="X945" s="33"/>
      <c r="Y945" s="33"/>
      <c r="Z945" s="33"/>
      <c r="AA945" s="33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3"/>
      <c r="V946" s="33"/>
      <c r="W946" s="33"/>
      <c r="X946" s="33"/>
      <c r="Y946" s="33"/>
      <c r="Z946" s="33"/>
      <c r="AA946" s="33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3"/>
      <c r="V947" s="33"/>
      <c r="W947" s="33"/>
      <c r="X947" s="33"/>
      <c r="Y947" s="33"/>
      <c r="Z947" s="33"/>
      <c r="AA947" s="33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3"/>
      <c r="V948" s="33"/>
      <c r="W948" s="33"/>
      <c r="X948" s="33"/>
      <c r="Y948" s="33"/>
      <c r="Z948" s="33"/>
      <c r="AA948" s="33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3"/>
      <c r="V949" s="33"/>
      <c r="W949" s="33"/>
      <c r="X949" s="33"/>
      <c r="Y949" s="33"/>
      <c r="Z949" s="33"/>
      <c r="AA949" s="33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3"/>
      <c r="V950" s="33"/>
      <c r="W950" s="33"/>
      <c r="X950" s="33"/>
      <c r="Y950" s="33"/>
      <c r="Z950" s="33"/>
      <c r="AA950" s="33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3"/>
      <c r="V951" s="33"/>
      <c r="W951" s="33"/>
      <c r="X951" s="33"/>
      <c r="Y951" s="33"/>
      <c r="Z951" s="33"/>
      <c r="AA951" s="33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3"/>
      <c r="V952" s="33"/>
      <c r="W952" s="33"/>
      <c r="X952" s="33"/>
      <c r="Y952" s="33"/>
      <c r="Z952" s="33"/>
      <c r="AA952" s="33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3"/>
      <c r="V953" s="33"/>
      <c r="W953" s="33"/>
      <c r="X953" s="33"/>
      <c r="Y953" s="33"/>
      <c r="Z953" s="33"/>
      <c r="AA953" s="33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3"/>
      <c r="V954" s="33"/>
      <c r="W954" s="33"/>
      <c r="X954" s="33"/>
      <c r="Y954" s="33"/>
      <c r="Z954" s="33"/>
      <c r="AA954" s="33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3"/>
      <c r="V955" s="33"/>
      <c r="W955" s="33"/>
      <c r="X955" s="33"/>
      <c r="Y955" s="33"/>
      <c r="Z955" s="33"/>
      <c r="AA955" s="33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3"/>
      <c r="V956" s="33"/>
      <c r="W956" s="33"/>
      <c r="X956" s="33"/>
      <c r="Y956" s="33"/>
      <c r="Z956" s="33"/>
      <c r="AA956" s="33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3"/>
      <c r="V957" s="33"/>
      <c r="W957" s="33"/>
      <c r="X957" s="33"/>
      <c r="Y957" s="33"/>
      <c r="Z957" s="33"/>
      <c r="AA957" s="33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3"/>
      <c r="V958" s="33"/>
      <c r="W958" s="33"/>
      <c r="X958" s="33"/>
      <c r="Y958" s="33"/>
      <c r="Z958" s="33"/>
      <c r="AA958" s="33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3"/>
      <c r="V959" s="33"/>
      <c r="W959" s="33"/>
      <c r="X959" s="33"/>
      <c r="Y959" s="33"/>
      <c r="Z959" s="33"/>
      <c r="AA959" s="33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3"/>
      <c r="V960" s="33"/>
      <c r="W960" s="33"/>
      <c r="X960" s="33"/>
      <c r="Y960" s="33"/>
      <c r="Z960" s="33"/>
      <c r="AA960" s="33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3"/>
      <c r="V961" s="33"/>
      <c r="W961" s="33"/>
      <c r="X961" s="33"/>
      <c r="Y961" s="33"/>
      <c r="Z961" s="33"/>
      <c r="AA961" s="33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3"/>
      <c r="V962" s="33"/>
      <c r="W962" s="33"/>
      <c r="X962" s="33"/>
      <c r="Y962" s="33"/>
      <c r="Z962" s="33"/>
      <c r="AA962" s="33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3"/>
      <c r="V963" s="33"/>
      <c r="W963" s="33"/>
      <c r="X963" s="33"/>
      <c r="Y963" s="33"/>
      <c r="Z963" s="33"/>
      <c r="AA963" s="33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3"/>
      <c r="V964" s="33"/>
      <c r="W964" s="33"/>
      <c r="X964" s="33"/>
      <c r="Y964" s="33"/>
      <c r="Z964" s="33"/>
      <c r="AA964" s="33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3"/>
      <c r="V965" s="33"/>
      <c r="W965" s="33"/>
      <c r="X965" s="33"/>
      <c r="Y965" s="33"/>
      <c r="Z965" s="33"/>
      <c r="AA965" s="33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3"/>
      <c r="V966" s="33"/>
      <c r="W966" s="33"/>
      <c r="X966" s="33"/>
      <c r="Y966" s="33"/>
      <c r="Z966" s="33"/>
      <c r="AA966" s="33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3"/>
      <c r="V967" s="33"/>
      <c r="W967" s="33"/>
      <c r="X967" s="33"/>
      <c r="Y967" s="33"/>
      <c r="Z967" s="33"/>
      <c r="AA967" s="33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3"/>
      <c r="V968" s="33"/>
      <c r="W968" s="33"/>
      <c r="X968" s="33"/>
      <c r="Y968" s="33"/>
      <c r="Z968" s="33"/>
      <c r="AA968" s="33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3"/>
      <c r="V969" s="33"/>
      <c r="W969" s="33"/>
      <c r="X969" s="33"/>
      <c r="Y969" s="33"/>
      <c r="Z969" s="33"/>
      <c r="AA969" s="33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3"/>
      <c r="V970" s="33"/>
      <c r="W970" s="33"/>
      <c r="X970" s="33"/>
      <c r="Y970" s="33"/>
      <c r="Z970" s="33"/>
      <c r="AA970" s="33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3"/>
      <c r="V971" s="33"/>
      <c r="W971" s="33"/>
      <c r="X971" s="33"/>
      <c r="Y971" s="33"/>
      <c r="Z971" s="33"/>
      <c r="AA971" s="33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3"/>
      <c r="V972" s="33"/>
      <c r="W972" s="33"/>
      <c r="X972" s="33"/>
      <c r="Y972" s="33"/>
      <c r="Z972" s="33"/>
      <c r="AA972" s="33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3"/>
      <c r="V973" s="33"/>
      <c r="W973" s="33"/>
      <c r="X973" s="33"/>
      <c r="Y973" s="33"/>
      <c r="Z973" s="33"/>
      <c r="AA973" s="33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3"/>
      <c r="V974" s="33"/>
      <c r="W974" s="33"/>
      <c r="X974" s="33"/>
      <c r="Y974" s="33"/>
      <c r="Z974" s="33"/>
      <c r="AA974" s="33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3"/>
      <c r="V975" s="33"/>
      <c r="W975" s="33"/>
      <c r="X975" s="33"/>
      <c r="Y975" s="33"/>
      <c r="Z975" s="33"/>
      <c r="AA975" s="33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3"/>
      <c r="V976" s="33"/>
      <c r="W976" s="33"/>
      <c r="X976" s="33"/>
      <c r="Y976" s="33"/>
      <c r="Z976" s="33"/>
      <c r="AA976" s="33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3"/>
      <c r="V977" s="33"/>
      <c r="W977" s="33"/>
      <c r="X977" s="33"/>
      <c r="Y977" s="33"/>
      <c r="Z977" s="33"/>
      <c r="AA977" s="33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3"/>
      <c r="V978" s="33"/>
      <c r="W978" s="33"/>
      <c r="X978" s="33"/>
      <c r="Y978" s="33"/>
      <c r="Z978" s="33"/>
      <c r="AA978" s="33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3"/>
      <c r="V979" s="33"/>
      <c r="W979" s="33"/>
      <c r="X979" s="33"/>
      <c r="Y979" s="33"/>
      <c r="Z979" s="33"/>
      <c r="AA979" s="33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3"/>
      <c r="V980" s="33"/>
      <c r="W980" s="33"/>
      <c r="X980" s="33"/>
      <c r="Y980" s="33"/>
      <c r="Z980" s="33"/>
      <c r="AA980" s="33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3"/>
      <c r="V981" s="33"/>
      <c r="W981" s="33"/>
      <c r="X981" s="33"/>
      <c r="Y981" s="33"/>
      <c r="Z981" s="33"/>
      <c r="AA981" s="33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3"/>
      <c r="V982" s="33"/>
      <c r="W982" s="33"/>
      <c r="X982" s="33"/>
      <c r="Y982" s="33"/>
      <c r="Z982" s="33"/>
      <c r="AA982" s="33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3"/>
      <c r="V983" s="33"/>
      <c r="W983" s="33"/>
      <c r="X983" s="33"/>
      <c r="Y983" s="33"/>
      <c r="Z983" s="33"/>
      <c r="AA983" s="33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3"/>
      <c r="V984" s="33"/>
      <c r="W984" s="33"/>
      <c r="X984" s="33"/>
      <c r="Y984" s="33"/>
      <c r="Z984" s="33"/>
      <c r="AA984" s="33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3"/>
      <c r="V985" s="33"/>
      <c r="W985" s="33"/>
      <c r="X985" s="33"/>
      <c r="Y985" s="33"/>
      <c r="Z985" s="33"/>
      <c r="AA985" s="33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3"/>
      <c r="V986" s="33"/>
      <c r="W986" s="33"/>
      <c r="X986" s="33"/>
      <c r="Y986" s="33"/>
      <c r="Z986" s="33"/>
      <c r="AA986" s="33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3"/>
      <c r="V987" s="33"/>
      <c r="W987" s="33"/>
      <c r="X987" s="33"/>
      <c r="Y987" s="33"/>
      <c r="Z987" s="33"/>
      <c r="AA987" s="33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3"/>
      <c r="V988" s="33"/>
      <c r="W988" s="33"/>
      <c r="X988" s="33"/>
      <c r="Y988" s="33"/>
      <c r="Z988" s="33"/>
      <c r="AA988" s="33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3"/>
      <c r="V989" s="33"/>
      <c r="W989" s="33"/>
      <c r="X989" s="33"/>
      <c r="Y989" s="33"/>
      <c r="Z989" s="33"/>
      <c r="AA989" s="33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3"/>
      <c r="V990" s="33"/>
      <c r="W990" s="33"/>
      <c r="X990" s="33"/>
      <c r="Y990" s="33"/>
      <c r="Z990" s="33"/>
      <c r="AA990" s="33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3"/>
      <c r="V991" s="33"/>
      <c r="W991" s="33"/>
      <c r="X991" s="33"/>
      <c r="Y991" s="33"/>
      <c r="Z991" s="33"/>
      <c r="AA991" s="33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3"/>
      <c r="V992" s="33"/>
      <c r="W992" s="33"/>
      <c r="X992" s="33"/>
      <c r="Y992" s="33"/>
      <c r="Z992" s="33"/>
      <c r="AA992" s="33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3"/>
      <c r="V993" s="33"/>
      <c r="W993" s="33"/>
      <c r="X993" s="33"/>
      <c r="Y993" s="33"/>
      <c r="Z993" s="33"/>
      <c r="AA993" s="33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3"/>
      <c r="V994" s="33"/>
      <c r="W994" s="33"/>
      <c r="X994" s="33"/>
      <c r="Y994" s="33"/>
      <c r="Z994" s="33"/>
      <c r="AA994" s="33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3"/>
      <c r="V995" s="33"/>
      <c r="W995" s="33"/>
      <c r="X995" s="33"/>
      <c r="Y995" s="33"/>
      <c r="Z995" s="33"/>
      <c r="AA995" s="33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3"/>
      <c r="V996" s="33"/>
      <c r="W996" s="33"/>
      <c r="X996" s="33"/>
      <c r="Y996" s="33"/>
      <c r="Z996" s="33"/>
      <c r="AA996" s="33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3"/>
      <c r="V997" s="33"/>
      <c r="W997" s="33"/>
      <c r="X997" s="33"/>
      <c r="Y997" s="33"/>
      <c r="Z997" s="33"/>
      <c r="AA997" s="33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3"/>
      <c r="V998" s="33"/>
      <c r="W998" s="33"/>
      <c r="X998" s="33"/>
      <c r="Y998" s="33"/>
      <c r="Z998" s="33"/>
      <c r="AA998" s="33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3"/>
      <c r="V999" s="33"/>
      <c r="W999" s="33"/>
      <c r="X999" s="33"/>
      <c r="Y999" s="33"/>
      <c r="Z999" s="33"/>
      <c r="AA999" s="33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3"/>
      <c r="V1000" s="33"/>
      <c r="W1000" s="33"/>
      <c r="X1000" s="33"/>
      <c r="Y1000" s="33"/>
      <c r="Z1000" s="33"/>
      <c r="AA1000" s="33"/>
    </row>
  </sheetData>
  <autoFilter ref="$A$1:$AA$10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2" width="12.63"/>
    <col customWidth="1" min="3" max="3" width="21.0"/>
    <col customWidth="1" min="4" max="6" width="12.63"/>
  </cols>
  <sheetData>
    <row r="1" ht="15.75" customHeight="1">
      <c r="A1" s="2" t="s">
        <v>1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18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28</v>
      </c>
      <c r="B2" s="6" t="s">
        <v>30</v>
      </c>
      <c r="C2" s="8" t="s">
        <v>32</v>
      </c>
      <c r="D2" s="8">
        <v>0.0</v>
      </c>
      <c r="E2" s="8">
        <v>0.0</v>
      </c>
      <c r="F2" s="8">
        <v>0.0</v>
      </c>
      <c r="G2" s="8">
        <v>0.0</v>
      </c>
      <c r="H2" s="8">
        <v>0.0</v>
      </c>
      <c r="I2" s="8">
        <v>0.0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6" t="s">
        <v>28</v>
      </c>
      <c r="B3" s="6" t="s">
        <v>39</v>
      </c>
      <c r="C3" s="8" t="s">
        <v>41</v>
      </c>
      <c r="D3" s="8">
        <v>0.0</v>
      </c>
      <c r="E3" s="8">
        <v>0.0</v>
      </c>
      <c r="F3" s="8">
        <v>0.0</v>
      </c>
      <c r="G3" s="8">
        <v>0.0</v>
      </c>
      <c r="H3" s="8">
        <v>0.0</v>
      </c>
      <c r="I3" s="8">
        <v>0.0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6" t="s">
        <v>28</v>
      </c>
      <c r="B4" s="6" t="s">
        <v>45</v>
      </c>
      <c r="C4" s="8" t="s">
        <v>46</v>
      </c>
      <c r="D4" s="8">
        <v>0.0</v>
      </c>
      <c r="E4" s="8">
        <v>8.0</v>
      </c>
      <c r="F4" s="8">
        <v>74.0</v>
      </c>
      <c r="G4" s="8">
        <v>231.0</v>
      </c>
      <c r="H4" s="8">
        <v>0.0</v>
      </c>
      <c r="I4" s="8">
        <v>4.0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6" t="s">
        <v>28</v>
      </c>
      <c r="B5" s="6" t="s">
        <v>51</v>
      </c>
      <c r="C5" s="8" t="s">
        <v>52</v>
      </c>
      <c r="D5" s="8">
        <v>13.0</v>
      </c>
      <c r="E5" s="8">
        <v>125.0</v>
      </c>
      <c r="F5" s="8">
        <v>55.0</v>
      </c>
      <c r="G5" s="8">
        <v>595.0</v>
      </c>
      <c r="H5" s="8">
        <v>0.0</v>
      </c>
      <c r="I5" s="8">
        <v>183.0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6" t="s">
        <v>28</v>
      </c>
      <c r="B6" s="6" t="s">
        <v>54</v>
      </c>
      <c r="C6" s="8" t="s">
        <v>55</v>
      </c>
      <c r="D6" s="8">
        <v>47.0</v>
      </c>
      <c r="E6" s="8">
        <v>41.0</v>
      </c>
      <c r="F6" s="8">
        <v>1079.0</v>
      </c>
      <c r="G6" s="8">
        <v>937.0</v>
      </c>
      <c r="H6" s="8">
        <v>157.0</v>
      </c>
      <c r="I6" s="8">
        <v>7755.0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6" t="s">
        <v>28</v>
      </c>
      <c r="B7" s="6" t="s">
        <v>68</v>
      </c>
      <c r="C7" s="8" t="s">
        <v>70</v>
      </c>
      <c r="D7" s="8">
        <v>7.0</v>
      </c>
      <c r="E7" s="8">
        <v>0.0</v>
      </c>
      <c r="F7" s="8">
        <v>0.0</v>
      </c>
      <c r="G7" s="8">
        <v>0.0</v>
      </c>
      <c r="H7" s="8">
        <v>0.0</v>
      </c>
      <c r="I7" s="8">
        <v>0.0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6" t="s">
        <v>28</v>
      </c>
      <c r="B8" s="6" t="s">
        <v>83</v>
      </c>
      <c r="C8" s="8" t="s">
        <v>85</v>
      </c>
      <c r="D8" s="8">
        <v>17.0</v>
      </c>
      <c r="E8" s="8">
        <v>1.0</v>
      </c>
      <c r="F8" s="8">
        <v>12.0</v>
      </c>
      <c r="G8" s="8">
        <v>4.0</v>
      </c>
      <c r="H8" s="8">
        <v>8.0</v>
      </c>
      <c r="I8" s="8">
        <v>6.0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6" t="s">
        <v>28</v>
      </c>
      <c r="B9" s="6" t="s">
        <v>87</v>
      </c>
      <c r="C9" s="8" t="s">
        <v>88</v>
      </c>
      <c r="D9" s="8">
        <v>16.0</v>
      </c>
      <c r="E9" s="8">
        <v>0.0</v>
      </c>
      <c r="F9" s="8">
        <v>15.0</v>
      </c>
      <c r="G9" s="8">
        <v>0.0</v>
      </c>
      <c r="H9" s="8">
        <v>0.0</v>
      </c>
      <c r="I9" s="8">
        <v>0.0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6" t="s">
        <v>28</v>
      </c>
      <c r="B10" s="6" t="s">
        <v>89</v>
      </c>
      <c r="C10" s="8" t="s">
        <v>90</v>
      </c>
      <c r="D10" s="8">
        <v>6.0</v>
      </c>
      <c r="E10" s="8">
        <v>27.0</v>
      </c>
      <c r="F10" s="8">
        <v>10.0</v>
      </c>
      <c r="G10" s="8">
        <v>307.0</v>
      </c>
      <c r="H10" s="8">
        <v>6.0</v>
      </c>
      <c r="I10" s="8">
        <v>122.0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6" t="s">
        <v>28</v>
      </c>
      <c r="B11" s="6" t="s">
        <v>91</v>
      </c>
      <c r="C11" s="8" t="s">
        <v>92</v>
      </c>
      <c r="D11" s="8">
        <v>0.0</v>
      </c>
      <c r="E11" s="8">
        <v>0.0</v>
      </c>
      <c r="F11" s="8">
        <v>3.0</v>
      </c>
      <c r="G11" s="8">
        <v>0.0</v>
      </c>
      <c r="H11" s="8">
        <v>1.0</v>
      </c>
      <c r="I11" s="8">
        <v>1.0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6" t="s">
        <v>50</v>
      </c>
      <c r="B12" s="6" t="s">
        <v>93</v>
      </c>
      <c r="C12" s="8" t="s">
        <v>94</v>
      </c>
      <c r="D12" s="8">
        <v>249.0</v>
      </c>
      <c r="E12" s="8">
        <v>0.0</v>
      </c>
      <c r="F12" s="8">
        <v>228.0</v>
      </c>
      <c r="G12" s="8">
        <v>0.0</v>
      </c>
      <c r="H12" s="8">
        <v>46.0</v>
      </c>
      <c r="I12" s="8">
        <v>0.0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6" t="s">
        <v>50</v>
      </c>
      <c r="B13" s="6" t="s">
        <v>95</v>
      </c>
      <c r="C13" s="8" t="s">
        <v>96</v>
      </c>
      <c r="D13" s="8">
        <v>1394.0</v>
      </c>
      <c r="E13" s="8">
        <v>0.0</v>
      </c>
      <c r="F13" s="8">
        <v>1331.0</v>
      </c>
      <c r="G13" s="8">
        <v>0.0</v>
      </c>
      <c r="H13" s="8">
        <v>2620.0</v>
      </c>
      <c r="I13" s="8">
        <v>0.0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6" t="s">
        <v>50</v>
      </c>
      <c r="B14" s="6" t="s">
        <v>97</v>
      </c>
      <c r="C14" s="8" t="s">
        <v>98</v>
      </c>
      <c r="D14" s="8">
        <v>1778.0</v>
      </c>
      <c r="E14" s="8">
        <v>0.0</v>
      </c>
      <c r="F14" s="8">
        <v>2722.0</v>
      </c>
      <c r="G14" s="8">
        <v>0.0</v>
      </c>
      <c r="H14" s="8">
        <v>1168.0</v>
      </c>
      <c r="I14" s="8">
        <v>0.0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6" t="s">
        <v>50</v>
      </c>
      <c r="B15" s="6" t="s">
        <v>54</v>
      </c>
      <c r="C15" s="8" t="s">
        <v>99</v>
      </c>
      <c r="D15" s="8">
        <v>929.0</v>
      </c>
      <c r="E15" s="8">
        <v>0.0</v>
      </c>
      <c r="F15" s="8">
        <v>262.0</v>
      </c>
      <c r="G15" s="8">
        <v>0.0</v>
      </c>
      <c r="H15" s="8">
        <v>511.0</v>
      </c>
      <c r="I15" s="8">
        <v>0.0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6" t="s">
        <v>50</v>
      </c>
      <c r="B16" s="6" t="s">
        <v>100</v>
      </c>
      <c r="C16" s="8" t="s">
        <v>101</v>
      </c>
      <c r="D16" s="8">
        <v>1177.0</v>
      </c>
      <c r="E16" s="8">
        <v>0.0</v>
      </c>
      <c r="F16" s="8">
        <v>401.0</v>
      </c>
      <c r="G16" s="8">
        <v>0.0</v>
      </c>
      <c r="H16" s="8">
        <v>0.0</v>
      </c>
      <c r="I16" s="8">
        <v>0.0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6" t="s">
        <v>50</v>
      </c>
      <c r="B17" s="6" t="s">
        <v>102</v>
      </c>
      <c r="C17" s="8" t="s">
        <v>103</v>
      </c>
      <c r="D17" s="8">
        <v>95.0</v>
      </c>
      <c r="E17" s="8">
        <v>0.0</v>
      </c>
      <c r="F17" s="8">
        <v>40.0</v>
      </c>
      <c r="G17" s="8">
        <v>0.0</v>
      </c>
      <c r="H17" s="8">
        <v>128.0</v>
      </c>
      <c r="I17" s="8">
        <v>0.0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6" t="s">
        <v>50</v>
      </c>
      <c r="B18" s="6" t="s">
        <v>105</v>
      </c>
      <c r="C18" s="8" t="s">
        <v>107</v>
      </c>
      <c r="D18" s="8">
        <v>0.0</v>
      </c>
      <c r="E18" s="8">
        <v>0.0</v>
      </c>
      <c r="F18" s="8">
        <v>108.0</v>
      </c>
      <c r="G18" s="8">
        <v>0.0</v>
      </c>
      <c r="H18" s="8">
        <v>176.0</v>
      </c>
      <c r="I18" s="8">
        <v>0.0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6" t="s">
        <v>50</v>
      </c>
      <c r="B19" s="6" t="s">
        <v>109</v>
      </c>
      <c r="C19" s="8" t="s">
        <v>110</v>
      </c>
      <c r="D19" s="8">
        <v>699.0</v>
      </c>
      <c r="E19" s="8">
        <v>0.0</v>
      </c>
      <c r="F19" s="8">
        <v>385.0</v>
      </c>
      <c r="G19" s="8">
        <v>0.0</v>
      </c>
      <c r="H19" s="8">
        <v>676.0</v>
      </c>
      <c r="I19" s="8">
        <v>0.0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6" t="s">
        <v>50</v>
      </c>
      <c r="B20" s="6" t="s">
        <v>111</v>
      </c>
      <c r="C20" s="8" t="s">
        <v>112</v>
      </c>
      <c r="D20" s="8">
        <v>227.0</v>
      </c>
      <c r="E20" s="8">
        <v>0.0</v>
      </c>
      <c r="F20" s="8">
        <v>39.0</v>
      </c>
      <c r="G20" s="8">
        <v>0.0</v>
      </c>
      <c r="H20" s="8">
        <v>54.0</v>
      </c>
      <c r="I20" s="8">
        <v>0.0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6" t="s">
        <v>50</v>
      </c>
      <c r="B21" s="6" t="s">
        <v>113</v>
      </c>
      <c r="C21" s="8" t="s">
        <v>114</v>
      </c>
      <c r="D21" s="8">
        <v>1664.0</v>
      </c>
      <c r="E21" s="8">
        <v>0.0</v>
      </c>
      <c r="F21" s="8">
        <v>368.0</v>
      </c>
      <c r="G21" s="8">
        <v>0.0</v>
      </c>
      <c r="H21" s="8">
        <v>0.0</v>
      </c>
      <c r="I21" s="8">
        <v>0.0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6">
        <v>10089.0</v>
      </c>
      <c r="B22" s="6" t="s">
        <v>118</v>
      </c>
      <c r="C22" s="8" t="s">
        <v>119</v>
      </c>
      <c r="D22" s="8">
        <v>114.0</v>
      </c>
      <c r="E22" s="8">
        <v>317.0</v>
      </c>
      <c r="F22" s="8">
        <v>16.0</v>
      </c>
      <c r="G22" s="8">
        <v>85.0</v>
      </c>
      <c r="H22" s="8">
        <v>20.0</v>
      </c>
      <c r="I22" s="8">
        <v>20.0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6">
        <v>10089.0</v>
      </c>
      <c r="B23" s="6" t="s">
        <v>120</v>
      </c>
      <c r="C23" s="8" t="s">
        <v>121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6">
        <v>10089.0</v>
      </c>
      <c r="B24" s="6" t="s">
        <v>122</v>
      </c>
      <c r="C24" s="8" t="s">
        <v>123</v>
      </c>
      <c r="D24" s="8">
        <v>0.0</v>
      </c>
      <c r="E24" s="8">
        <v>2.0</v>
      </c>
      <c r="F24" s="8">
        <v>0.0</v>
      </c>
      <c r="G24" s="8">
        <v>3.0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6">
        <v>10089.0</v>
      </c>
      <c r="B25" s="6" t="s">
        <v>125</v>
      </c>
      <c r="C25" s="8" t="s">
        <v>126</v>
      </c>
      <c r="D25" s="8">
        <v>0.0</v>
      </c>
      <c r="E25" s="8">
        <v>0.0</v>
      </c>
      <c r="F25" s="8">
        <v>8.0</v>
      </c>
      <c r="G25" s="8">
        <v>1.0</v>
      </c>
      <c r="H25" s="8">
        <v>5.0</v>
      </c>
      <c r="I25" s="8">
        <v>0.0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6">
        <v>10089.0</v>
      </c>
      <c r="B26" s="6" t="s">
        <v>129</v>
      </c>
      <c r="C26" s="8" t="s">
        <v>130</v>
      </c>
      <c r="D26" s="8">
        <v>418.0</v>
      </c>
      <c r="E26" s="8">
        <v>209.0</v>
      </c>
      <c r="F26" s="8">
        <v>295.0</v>
      </c>
      <c r="G26" s="8">
        <v>0.0</v>
      </c>
      <c r="H26" s="8">
        <v>0.0</v>
      </c>
      <c r="I26" s="8">
        <v>0.0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6">
        <v>10089.0</v>
      </c>
      <c r="B27" s="6" t="s">
        <v>100</v>
      </c>
      <c r="C27" s="8" t="s">
        <v>131</v>
      </c>
      <c r="D27" s="8">
        <v>0.0</v>
      </c>
      <c r="E27" s="8">
        <v>0.0</v>
      </c>
      <c r="F27" s="8">
        <v>2.0</v>
      </c>
      <c r="G27" s="8">
        <v>0.0</v>
      </c>
      <c r="H27" s="8">
        <v>0.0</v>
      </c>
      <c r="I27" s="8">
        <v>0.0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6">
        <v>10089.0</v>
      </c>
      <c r="B28" s="6" t="s">
        <v>132</v>
      </c>
      <c r="C28" s="8" t="s">
        <v>133</v>
      </c>
      <c r="D28" s="8">
        <v>0.0</v>
      </c>
      <c r="E28" s="8">
        <v>0.0</v>
      </c>
      <c r="F28" s="8">
        <v>0.0</v>
      </c>
      <c r="G28" s="8">
        <v>0.0</v>
      </c>
      <c r="H28" s="8">
        <v>0.0</v>
      </c>
      <c r="I28" s="8">
        <v>0.0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6">
        <v>10089.0</v>
      </c>
      <c r="B29" s="6" t="s">
        <v>136</v>
      </c>
      <c r="C29" s="8" t="s">
        <v>137</v>
      </c>
      <c r="D29" s="8">
        <v>0.0</v>
      </c>
      <c r="E29" s="8">
        <v>0.0</v>
      </c>
      <c r="F29" s="8">
        <v>0.0</v>
      </c>
      <c r="G29" s="8">
        <v>0.0</v>
      </c>
      <c r="H29" s="8">
        <v>0.0</v>
      </c>
      <c r="I29" s="8">
        <v>0.0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6">
        <v>10089.0</v>
      </c>
      <c r="B30" s="6" t="s">
        <v>138</v>
      </c>
      <c r="C30" s="8" t="s">
        <v>139</v>
      </c>
      <c r="D30" s="8">
        <v>345.0</v>
      </c>
      <c r="E30" s="8">
        <v>2.0</v>
      </c>
      <c r="F30" s="8">
        <v>151.0</v>
      </c>
      <c r="G30" s="8">
        <v>33.0</v>
      </c>
      <c r="H30" s="8">
        <v>157.0</v>
      </c>
      <c r="I30" s="8">
        <v>48.0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6">
        <v>10089.0</v>
      </c>
      <c r="B31" s="6" t="s">
        <v>140</v>
      </c>
      <c r="C31" s="8" t="s">
        <v>141</v>
      </c>
      <c r="D31" s="8">
        <v>29.0</v>
      </c>
      <c r="E31" s="8">
        <v>21.0</v>
      </c>
      <c r="F31" s="8">
        <v>25.0</v>
      </c>
      <c r="G31" s="8">
        <v>12.0</v>
      </c>
      <c r="H31" s="8">
        <v>6.0</v>
      </c>
      <c r="I31" s="8">
        <v>22.0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6">
        <v>10089.0</v>
      </c>
      <c r="B32" s="24" t="s">
        <v>144</v>
      </c>
      <c r="C32" s="25" t="s">
        <v>145</v>
      </c>
      <c r="D32" s="8">
        <v>761.0</v>
      </c>
      <c r="E32" s="8">
        <v>6.0</v>
      </c>
      <c r="F32" s="8">
        <v>1395.0</v>
      </c>
      <c r="G32" s="8">
        <v>70.0</v>
      </c>
      <c r="H32" s="8">
        <v>108.0</v>
      </c>
      <c r="I32" s="8">
        <v>13356.0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6">
        <v>60686.0</v>
      </c>
      <c r="B33" s="24" t="s">
        <v>146</v>
      </c>
      <c r="C33" s="8" t="s">
        <v>147</v>
      </c>
      <c r="D33" s="8">
        <v>0.0</v>
      </c>
      <c r="E33" s="8">
        <v>3.0</v>
      </c>
      <c r="F33" s="8">
        <v>0.0</v>
      </c>
      <c r="G33" s="8">
        <v>0.0</v>
      </c>
      <c r="H33" s="8">
        <v>0.0</v>
      </c>
      <c r="I33" s="8">
        <v>0.0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6">
        <v>60686.0</v>
      </c>
      <c r="B34" s="24" t="s">
        <v>149</v>
      </c>
      <c r="C34" s="8" t="s">
        <v>150</v>
      </c>
      <c r="D34" s="8">
        <v>155.0</v>
      </c>
      <c r="E34" s="8">
        <v>0.0</v>
      </c>
      <c r="F34" s="8">
        <v>203.0</v>
      </c>
      <c r="G34" s="8">
        <v>0.0</v>
      </c>
      <c r="H34" s="8">
        <v>5.0</v>
      </c>
      <c r="I34" s="8">
        <v>0.0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6">
        <v>60686.0</v>
      </c>
      <c r="B35" s="24" t="s">
        <v>111</v>
      </c>
      <c r="C35" s="8" t="s">
        <v>151</v>
      </c>
      <c r="D35" s="8">
        <v>418.0</v>
      </c>
      <c r="E35" s="8">
        <v>0.0</v>
      </c>
      <c r="F35" s="8">
        <v>269.0</v>
      </c>
      <c r="G35" s="8">
        <v>0.0</v>
      </c>
      <c r="H35" s="8">
        <v>2129.0</v>
      </c>
      <c r="I35" s="8">
        <v>0.0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6">
        <v>60686.0</v>
      </c>
      <c r="B36" s="24" t="s">
        <v>153</v>
      </c>
      <c r="C36" s="8" t="s">
        <v>154</v>
      </c>
      <c r="D36" s="8">
        <v>0.0</v>
      </c>
      <c r="E36" s="8">
        <v>0.0</v>
      </c>
      <c r="F36" s="8">
        <v>0.0</v>
      </c>
      <c r="G36" s="8">
        <v>0.0</v>
      </c>
      <c r="H36" s="8">
        <v>0.0</v>
      </c>
      <c r="I36" s="8">
        <v>0.0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6">
        <v>60686.0</v>
      </c>
      <c r="B37" s="24" t="s">
        <v>156</v>
      </c>
      <c r="C37" s="8" t="s">
        <v>157</v>
      </c>
      <c r="D37" s="8">
        <v>321.0</v>
      </c>
      <c r="E37" s="8">
        <v>18.0</v>
      </c>
      <c r="F37" s="8">
        <v>817.0</v>
      </c>
      <c r="G37" s="8">
        <v>1.0</v>
      </c>
      <c r="H37" s="8">
        <v>17.0</v>
      </c>
      <c r="I37" s="8">
        <v>0.0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6">
        <v>60686.0</v>
      </c>
      <c r="B38" s="24" t="s">
        <v>129</v>
      </c>
      <c r="C38" s="8" t="s">
        <v>130</v>
      </c>
      <c r="D38" s="8">
        <v>0.0</v>
      </c>
      <c r="E38" s="8">
        <v>0.0</v>
      </c>
      <c r="F38" s="8">
        <v>2.0</v>
      </c>
      <c r="G38" s="8">
        <v>0.0</v>
      </c>
      <c r="H38" s="8">
        <v>228.0</v>
      </c>
      <c r="I38" s="8">
        <v>56.0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6">
        <v>60686.0</v>
      </c>
      <c r="B39" s="24" t="s">
        <v>159</v>
      </c>
      <c r="C39" s="8" t="s">
        <v>160</v>
      </c>
      <c r="D39" s="8">
        <v>489.0</v>
      </c>
      <c r="E39" s="8">
        <v>0.0</v>
      </c>
      <c r="F39" s="8">
        <v>118.0</v>
      </c>
      <c r="G39" s="8">
        <v>0.0</v>
      </c>
      <c r="H39" s="8">
        <v>10.0</v>
      </c>
      <c r="I39" s="8">
        <v>0.0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6">
        <v>60686.0</v>
      </c>
      <c r="B40" s="24" t="s">
        <v>161</v>
      </c>
      <c r="C40" s="8" t="s">
        <v>162</v>
      </c>
      <c r="D40" s="8">
        <v>31.0</v>
      </c>
      <c r="E40" s="8">
        <v>0.0</v>
      </c>
      <c r="F40" s="8">
        <v>12.0</v>
      </c>
      <c r="G40" s="8">
        <v>0.0</v>
      </c>
      <c r="H40" s="8">
        <v>2.0</v>
      </c>
      <c r="I40" s="8">
        <v>0.0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6">
        <v>60686.0</v>
      </c>
      <c r="B41" s="24" t="s">
        <v>163</v>
      </c>
      <c r="C41" s="8" t="s">
        <v>164</v>
      </c>
      <c r="D41" s="8">
        <v>103.0</v>
      </c>
      <c r="E41" s="8">
        <v>0.0</v>
      </c>
      <c r="F41" s="8">
        <v>45.0</v>
      </c>
      <c r="G41" s="8">
        <v>0.0</v>
      </c>
      <c r="H41" s="8">
        <v>149.0</v>
      </c>
      <c r="I41" s="8">
        <v>0.0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6">
        <v>60686.0</v>
      </c>
      <c r="B42" s="24" t="s">
        <v>165</v>
      </c>
      <c r="C42" s="8" t="s">
        <v>166</v>
      </c>
      <c r="D42" s="8">
        <v>226.0</v>
      </c>
      <c r="E42" s="8">
        <v>0.0</v>
      </c>
      <c r="F42" s="8">
        <v>217.0</v>
      </c>
      <c r="G42" s="8">
        <v>0.0</v>
      </c>
      <c r="H42" s="8">
        <v>115.0</v>
      </c>
      <c r="I42" s="8">
        <v>0.0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6">
        <v>60686.0</v>
      </c>
      <c r="B43" s="24" t="s">
        <v>167</v>
      </c>
      <c r="C43" s="8" t="s">
        <v>168</v>
      </c>
      <c r="D43" s="8">
        <v>0.0</v>
      </c>
      <c r="E43" s="8">
        <v>0.0</v>
      </c>
      <c r="F43" s="8">
        <v>0.0</v>
      </c>
      <c r="G43" s="8">
        <v>0.0</v>
      </c>
      <c r="H43" s="8">
        <v>0.0</v>
      </c>
      <c r="I43" s="8">
        <v>0.0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6">
        <v>60686.0</v>
      </c>
      <c r="B44" s="24" t="s">
        <v>45</v>
      </c>
      <c r="C44" s="8" t="s">
        <v>169</v>
      </c>
      <c r="D44" s="8">
        <v>0.0</v>
      </c>
      <c r="E44" s="8">
        <v>0.0</v>
      </c>
      <c r="F44" s="8">
        <v>0.0</v>
      </c>
      <c r="G44" s="8">
        <v>0.0</v>
      </c>
      <c r="H44" s="8">
        <v>2.0</v>
      </c>
      <c r="I44" s="8">
        <v>1.0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6">
        <v>60686.0</v>
      </c>
      <c r="B45" s="24" t="s">
        <v>170</v>
      </c>
      <c r="C45" s="8" t="s">
        <v>171</v>
      </c>
      <c r="D45" s="8">
        <v>0.0</v>
      </c>
      <c r="E45" s="8">
        <v>4.0</v>
      </c>
      <c r="F45" s="8">
        <v>9.0</v>
      </c>
      <c r="G45" s="8">
        <v>113.0</v>
      </c>
      <c r="H45" s="8">
        <v>0.0</v>
      </c>
      <c r="I45" s="8">
        <v>10.0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6">
        <v>60686.0</v>
      </c>
      <c r="B46" s="24" t="s">
        <v>100</v>
      </c>
      <c r="C46" s="8" t="s">
        <v>172</v>
      </c>
      <c r="D46" s="8">
        <v>1.0</v>
      </c>
      <c r="E46" s="8">
        <v>4.0</v>
      </c>
      <c r="F46" s="8">
        <v>0.0</v>
      </c>
      <c r="G46" s="8">
        <v>0.0</v>
      </c>
      <c r="H46" s="8">
        <v>0.0</v>
      </c>
      <c r="I46" s="8">
        <v>0.0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6">
        <v>60686.0</v>
      </c>
      <c r="B47" s="24" t="s">
        <v>118</v>
      </c>
      <c r="C47" s="8" t="s">
        <v>173</v>
      </c>
      <c r="D47" s="8">
        <v>163.0</v>
      </c>
      <c r="E47" s="8">
        <v>0.0</v>
      </c>
      <c r="F47" s="8">
        <v>375.0</v>
      </c>
      <c r="G47" s="8">
        <v>0.0</v>
      </c>
      <c r="H47" s="8">
        <v>0.0</v>
      </c>
      <c r="I47" s="8">
        <v>0.0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6">
        <v>60686.0</v>
      </c>
      <c r="B48" s="24" t="s">
        <v>174</v>
      </c>
      <c r="C48" s="8" t="s">
        <v>175</v>
      </c>
      <c r="D48" s="8">
        <v>0.0</v>
      </c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6">
        <v>60686.0</v>
      </c>
      <c r="B49" s="24" t="s">
        <v>68</v>
      </c>
      <c r="C49" s="8" t="s">
        <v>176</v>
      </c>
      <c r="D49" s="8">
        <v>338.0</v>
      </c>
      <c r="E49" s="8">
        <v>0.0</v>
      </c>
      <c r="F49" s="8">
        <v>85.0</v>
      </c>
      <c r="G49" s="8">
        <v>0.0</v>
      </c>
      <c r="H49" s="8">
        <v>0.0</v>
      </c>
      <c r="I49" s="8">
        <v>0.0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6">
        <v>60686.0</v>
      </c>
      <c r="B50" s="24" t="s">
        <v>177</v>
      </c>
      <c r="C50" s="8" t="s">
        <v>178</v>
      </c>
      <c r="D50" s="8">
        <v>527.0</v>
      </c>
      <c r="E50" s="8">
        <v>0.0</v>
      </c>
      <c r="F50" s="8">
        <v>1614.0</v>
      </c>
      <c r="G50" s="8">
        <v>0.0</v>
      </c>
      <c r="H50" s="8">
        <v>0.0</v>
      </c>
      <c r="I50" s="8">
        <v>0.0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6">
        <v>60686.0</v>
      </c>
      <c r="B51" s="24" t="s">
        <v>179</v>
      </c>
      <c r="C51" s="8" t="s">
        <v>180</v>
      </c>
      <c r="D51" s="8">
        <v>1861.0</v>
      </c>
      <c r="E51" s="8">
        <v>0.0</v>
      </c>
      <c r="F51" s="8">
        <v>946.0</v>
      </c>
      <c r="G51" s="8">
        <v>0.0</v>
      </c>
      <c r="H51" s="8">
        <v>0.0</v>
      </c>
      <c r="I51" s="8">
        <v>0.0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6">
        <v>60686.0</v>
      </c>
      <c r="B52" s="24" t="s">
        <v>181</v>
      </c>
      <c r="C52" s="8" t="s">
        <v>182</v>
      </c>
      <c r="D52" s="8">
        <v>60.0</v>
      </c>
      <c r="E52" s="8">
        <v>0.0</v>
      </c>
      <c r="F52" s="8">
        <v>30.0</v>
      </c>
      <c r="G52" s="8">
        <v>0.0</v>
      </c>
      <c r="H52" s="8">
        <v>0.0</v>
      </c>
      <c r="I52" s="8">
        <v>3425.0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6">
        <v>60686.0</v>
      </c>
      <c r="B53" s="24" t="s">
        <v>183</v>
      </c>
      <c r="C53" s="8" t="s">
        <v>184</v>
      </c>
      <c r="D53" s="8">
        <v>0.0</v>
      </c>
      <c r="E53" s="8">
        <v>0.0</v>
      </c>
      <c r="F53" s="8">
        <v>0.0</v>
      </c>
      <c r="G53" s="8">
        <v>0.0</v>
      </c>
      <c r="H53" s="8">
        <v>0.0</v>
      </c>
      <c r="I53" s="8">
        <v>0.0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6">
        <v>60686.0</v>
      </c>
      <c r="B54" s="24" t="s">
        <v>185</v>
      </c>
      <c r="C54" s="8" t="s">
        <v>186</v>
      </c>
      <c r="D54" s="8">
        <v>0.0</v>
      </c>
      <c r="E54" s="8">
        <v>0.0</v>
      </c>
      <c r="F54" s="8">
        <v>757.0</v>
      </c>
      <c r="G54" s="8">
        <v>0.0</v>
      </c>
      <c r="H54" s="8">
        <v>0.0</v>
      </c>
      <c r="I54" s="8">
        <v>0.0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6">
        <v>60686.0</v>
      </c>
      <c r="B55" s="24" t="s">
        <v>187</v>
      </c>
      <c r="C55" s="8" t="s">
        <v>188</v>
      </c>
      <c r="D55" s="8">
        <v>40.0</v>
      </c>
      <c r="E55" s="8">
        <v>8.0</v>
      </c>
      <c r="F55" s="8">
        <v>454.0</v>
      </c>
      <c r="G55" s="8">
        <v>143.0</v>
      </c>
      <c r="H55" s="8">
        <v>168.0</v>
      </c>
      <c r="I55" s="8">
        <v>16.0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6">
        <v>60686.0</v>
      </c>
      <c r="B56" s="24" t="s">
        <v>189</v>
      </c>
      <c r="C56" s="8" t="s">
        <v>190</v>
      </c>
      <c r="D56" s="8">
        <v>11.0</v>
      </c>
      <c r="E56" s="8">
        <v>0.0</v>
      </c>
      <c r="F56" s="8">
        <v>0.0</v>
      </c>
      <c r="G56" s="8">
        <v>12.0</v>
      </c>
      <c r="H56" s="8">
        <v>0.0</v>
      </c>
      <c r="I56" s="8">
        <v>0.0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6">
        <v>60686.0</v>
      </c>
      <c r="B57" s="24" t="s">
        <v>191</v>
      </c>
      <c r="C57" s="8" t="s">
        <v>192</v>
      </c>
      <c r="D57" s="8">
        <v>8.0</v>
      </c>
      <c r="E57" s="8">
        <v>2.0</v>
      </c>
      <c r="F57" s="8">
        <v>7.0</v>
      </c>
      <c r="G57" s="8">
        <v>2.0</v>
      </c>
      <c r="H57" s="8">
        <v>2.0</v>
      </c>
      <c r="I57" s="8">
        <v>8.0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6">
        <v>60686.0</v>
      </c>
      <c r="B58" s="24" t="s">
        <v>193</v>
      </c>
      <c r="C58" s="8" t="s">
        <v>194</v>
      </c>
      <c r="D58" s="8">
        <v>210.0</v>
      </c>
      <c r="E58" s="8">
        <v>442.0</v>
      </c>
      <c r="F58" s="8">
        <v>104.0</v>
      </c>
      <c r="G58" s="8">
        <v>843.0</v>
      </c>
      <c r="H58" s="8">
        <v>2111.0</v>
      </c>
      <c r="I58" s="8">
        <v>260.0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6">
        <v>60686.0</v>
      </c>
      <c r="B59" s="24" t="s">
        <v>195</v>
      </c>
      <c r="C59" s="8" t="s">
        <v>196</v>
      </c>
      <c r="D59" s="8">
        <v>407.0</v>
      </c>
      <c r="E59" s="8">
        <v>0.0</v>
      </c>
      <c r="F59" s="8">
        <v>5455.0</v>
      </c>
      <c r="G59" s="8">
        <v>3318.0</v>
      </c>
      <c r="H59" s="8">
        <v>0.0</v>
      </c>
      <c r="I59" s="8">
        <v>0.0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6">
        <v>60686.0</v>
      </c>
      <c r="B60" s="24" t="s">
        <v>197</v>
      </c>
      <c r="C60" s="8" t="s">
        <v>198</v>
      </c>
      <c r="D60" s="8">
        <v>3.0</v>
      </c>
      <c r="E60" s="8">
        <v>0.0</v>
      </c>
      <c r="F60" s="8">
        <v>47.0</v>
      </c>
      <c r="G60" s="8">
        <v>0.0</v>
      </c>
      <c r="H60" s="8">
        <v>0.0</v>
      </c>
      <c r="I60" s="8">
        <v>0.0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6" t="s">
        <v>117</v>
      </c>
      <c r="B61" s="24" t="s">
        <v>199</v>
      </c>
      <c r="C61" s="25" t="s">
        <v>200</v>
      </c>
      <c r="D61" s="25">
        <v>0.0</v>
      </c>
      <c r="E61" s="25">
        <v>0.0</v>
      </c>
      <c r="F61" s="25">
        <v>0.0</v>
      </c>
      <c r="G61" s="25">
        <v>0.0</v>
      </c>
      <c r="H61" s="25">
        <v>1149.0</v>
      </c>
      <c r="I61" s="25">
        <v>0.0</v>
      </c>
      <c r="J61" s="25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6" t="s">
        <v>117</v>
      </c>
      <c r="B62" s="24" t="s">
        <v>201</v>
      </c>
      <c r="C62" s="25" t="s">
        <v>202</v>
      </c>
      <c r="D62" s="25">
        <v>0.0</v>
      </c>
      <c r="E62" s="25">
        <v>0.0</v>
      </c>
      <c r="F62" s="25">
        <v>0.0</v>
      </c>
      <c r="G62" s="25">
        <v>0.0</v>
      </c>
      <c r="H62" s="25">
        <v>0.0</v>
      </c>
      <c r="I62" s="25">
        <v>0.0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6" t="s">
        <v>117</v>
      </c>
      <c r="B63" s="24" t="s">
        <v>203</v>
      </c>
      <c r="C63" s="25" t="s">
        <v>204</v>
      </c>
      <c r="D63" s="25">
        <v>0.0</v>
      </c>
      <c r="E63" s="25">
        <v>0.0</v>
      </c>
      <c r="F63" s="25">
        <v>1647.0</v>
      </c>
      <c r="G63" s="25">
        <v>0.0</v>
      </c>
      <c r="H63" s="25">
        <v>1856.0</v>
      </c>
      <c r="I63" s="25">
        <v>0.0</v>
      </c>
      <c r="J63" s="25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6" t="s">
        <v>117</v>
      </c>
      <c r="B64" s="24" t="s">
        <v>205</v>
      </c>
      <c r="C64" s="25" t="s">
        <v>206</v>
      </c>
      <c r="D64" s="25">
        <v>0.0</v>
      </c>
      <c r="E64" s="25">
        <v>0.0</v>
      </c>
      <c r="F64" s="25">
        <v>0.0</v>
      </c>
      <c r="G64" s="25">
        <v>0.0</v>
      </c>
      <c r="H64" s="25">
        <v>0.0</v>
      </c>
      <c r="I64" s="25">
        <v>0.0</v>
      </c>
      <c r="J64" s="25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6" t="s">
        <v>117</v>
      </c>
      <c r="B65" s="24" t="s">
        <v>129</v>
      </c>
      <c r="C65" s="25" t="s">
        <v>207</v>
      </c>
      <c r="D65" s="25">
        <v>128.0</v>
      </c>
      <c r="E65" s="25">
        <v>0.0</v>
      </c>
      <c r="F65" s="25">
        <v>131.0</v>
      </c>
      <c r="G65" s="25">
        <v>0.0</v>
      </c>
      <c r="H65" s="25">
        <v>87.0</v>
      </c>
      <c r="I65" s="25">
        <v>0.0</v>
      </c>
      <c r="J65" s="25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6" t="s">
        <v>117</v>
      </c>
      <c r="B66" s="24" t="s">
        <v>208</v>
      </c>
      <c r="C66" s="25" t="s">
        <v>209</v>
      </c>
      <c r="D66" s="25">
        <v>46.0</v>
      </c>
      <c r="E66" s="25">
        <v>0.0</v>
      </c>
      <c r="F66" s="25">
        <v>43.0</v>
      </c>
      <c r="G66" s="25">
        <v>0.0</v>
      </c>
      <c r="H66" s="25">
        <v>50.0</v>
      </c>
      <c r="I66" s="25">
        <v>0.0</v>
      </c>
      <c r="J66" s="25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6" t="s">
        <v>117</v>
      </c>
      <c r="B67" s="24" t="s">
        <v>100</v>
      </c>
      <c r="C67" s="25" t="s">
        <v>210</v>
      </c>
      <c r="D67" s="25">
        <v>0.0</v>
      </c>
      <c r="E67" s="25">
        <v>0.0</v>
      </c>
      <c r="F67" s="25">
        <v>12.0</v>
      </c>
      <c r="G67" s="25">
        <v>0.0</v>
      </c>
      <c r="H67" s="25">
        <v>22.0</v>
      </c>
      <c r="I67" s="25">
        <v>0.0</v>
      </c>
      <c r="J67" s="25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6" t="s">
        <v>117</v>
      </c>
      <c r="B68" s="24" t="s">
        <v>211</v>
      </c>
      <c r="C68" s="25" t="s">
        <v>212</v>
      </c>
      <c r="D68" s="25">
        <v>46.0</v>
      </c>
      <c r="E68" s="25">
        <v>0.0</v>
      </c>
      <c r="F68" s="25">
        <v>99.0</v>
      </c>
      <c r="G68" s="25">
        <v>0.0</v>
      </c>
      <c r="H68" s="25">
        <v>142.0</v>
      </c>
      <c r="I68" s="25">
        <v>0.0</v>
      </c>
      <c r="J68" s="25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6" t="s">
        <v>117</v>
      </c>
      <c r="B69" s="24" t="s">
        <v>213</v>
      </c>
      <c r="C69" s="25" t="s">
        <v>214</v>
      </c>
      <c r="D69" s="25">
        <v>996.0</v>
      </c>
      <c r="E69" s="25">
        <v>0.0</v>
      </c>
      <c r="F69" s="25">
        <v>976.0</v>
      </c>
      <c r="G69" s="25">
        <v>0.0</v>
      </c>
      <c r="H69" s="25">
        <v>828.0</v>
      </c>
      <c r="I69" s="25">
        <v>0.0</v>
      </c>
      <c r="J69" s="25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6" t="s">
        <v>117</v>
      </c>
      <c r="B70" s="24" t="s">
        <v>215</v>
      </c>
      <c r="C70" s="25" t="s">
        <v>216</v>
      </c>
      <c r="D70" s="25">
        <v>0.0</v>
      </c>
      <c r="E70" s="25">
        <v>0.0</v>
      </c>
      <c r="F70" s="25">
        <v>0.0</v>
      </c>
      <c r="G70" s="25">
        <v>0.0</v>
      </c>
      <c r="H70" s="25">
        <v>0.0</v>
      </c>
      <c r="I70" s="25">
        <v>0.0</v>
      </c>
      <c r="J70" s="25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6" t="s">
        <v>117</v>
      </c>
      <c r="B71" s="24" t="s">
        <v>217</v>
      </c>
      <c r="C71" s="25" t="s">
        <v>218</v>
      </c>
      <c r="D71" s="25">
        <v>168.0</v>
      </c>
      <c r="E71" s="25">
        <v>0.0</v>
      </c>
      <c r="F71" s="25">
        <v>369.0</v>
      </c>
      <c r="G71" s="25">
        <v>0.0</v>
      </c>
      <c r="H71" s="25">
        <v>150.0</v>
      </c>
      <c r="I71" s="25">
        <v>0.0</v>
      </c>
      <c r="J71" s="25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6" t="s">
        <v>117</v>
      </c>
      <c r="B72" s="24" t="s">
        <v>219</v>
      </c>
      <c r="C72" s="25" t="s">
        <v>220</v>
      </c>
      <c r="D72" s="25">
        <v>2566.0</v>
      </c>
      <c r="E72" s="25">
        <v>0.0</v>
      </c>
      <c r="F72" s="25">
        <v>2161.0</v>
      </c>
      <c r="G72" s="25">
        <v>0.0</v>
      </c>
      <c r="H72" s="25">
        <v>0.0</v>
      </c>
      <c r="I72" s="25">
        <v>0.0</v>
      </c>
      <c r="J72" s="25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6" t="s">
        <v>117</v>
      </c>
      <c r="B73" s="24" t="s">
        <v>221</v>
      </c>
      <c r="C73" s="25" t="s">
        <v>222</v>
      </c>
      <c r="D73" s="25">
        <v>0.0</v>
      </c>
      <c r="E73" s="25">
        <v>0.0</v>
      </c>
      <c r="F73" s="25">
        <v>0.0</v>
      </c>
      <c r="G73" s="25">
        <v>0.0</v>
      </c>
      <c r="H73" s="25">
        <v>2.0</v>
      </c>
      <c r="I73" s="25">
        <v>0.0</v>
      </c>
      <c r="J73" s="25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6" t="s">
        <v>117</v>
      </c>
      <c r="B74" s="24" t="s">
        <v>223</v>
      </c>
      <c r="C74" s="25" t="s">
        <v>224</v>
      </c>
      <c r="D74" s="25">
        <v>667.0</v>
      </c>
      <c r="E74" s="25">
        <v>0.0</v>
      </c>
      <c r="F74" s="25">
        <v>585.0</v>
      </c>
      <c r="G74" s="25">
        <v>0.0</v>
      </c>
      <c r="H74" s="25">
        <v>372.0</v>
      </c>
      <c r="I74" s="25">
        <v>0.0</v>
      </c>
      <c r="J74" s="25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30"/>
      <c r="B275" s="30"/>
      <c r="C275" s="31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>
      <c r="A276" s="30"/>
      <c r="B276" s="30"/>
      <c r="C276" s="31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>
      <c r="A277" s="30"/>
      <c r="B277" s="30"/>
      <c r="C277" s="31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75" customHeight="1">
      <c r="A278" s="30"/>
      <c r="B278" s="30"/>
      <c r="C278" s="31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75" customHeight="1">
      <c r="A279" s="30"/>
      <c r="B279" s="30"/>
      <c r="C279" s="31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75" customHeight="1">
      <c r="A280" s="30"/>
      <c r="B280" s="30"/>
      <c r="C280" s="31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75" customHeight="1">
      <c r="A281" s="30"/>
      <c r="B281" s="30"/>
      <c r="C281" s="31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75" customHeight="1">
      <c r="A282" s="30"/>
      <c r="B282" s="30"/>
      <c r="C282" s="31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75" customHeight="1">
      <c r="A283" s="30"/>
      <c r="B283" s="30"/>
      <c r="C283" s="31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75" customHeight="1">
      <c r="A284" s="30"/>
      <c r="B284" s="30"/>
      <c r="C284" s="31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>
      <c r="A285" s="30"/>
      <c r="B285" s="30"/>
      <c r="C285" s="31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75" customHeight="1">
      <c r="A286" s="30"/>
      <c r="B286" s="30"/>
      <c r="C286" s="31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75" customHeight="1">
      <c r="A287" s="30"/>
      <c r="B287" s="30"/>
      <c r="C287" s="31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>
      <c r="A288" s="30"/>
      <c r="B288" s="30"/>
      <c r="C288" s="31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>
      <c r="A289" s="30"/>
      <c r="B289" s="30"/>
      <c r="C289" s="31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75" customHeight="1">
      <c r="A290" s="30"/>
      <c r="B290" s="30"/>
      <c r="C290" s="31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75" customHeight="1">
      <c r="A291" s="30"/>
      <c r="B291" s="30"/>
      <c r="C291" s="31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75" customHeight="1">
      <c r="A292" s="30"/>
      <c r="B292" s="30"/>
      <c r="C292" s="31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5.75" customHeight="1">
      <c r="A293" s="30"/>
      <c r="B293" s="30"/>
      <c r="C293" s="31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>
      <c r="A294" s="30"/>
      <c r="B294" s="30"/>
      <c r="C294" s="31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75" customHeight="1">
      <c r="A295" s="30"/>
      <c r="B295" s="30"/>
      <c r="C295" s="31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75" customHeight="1">
      <c r="A296" s="30"/>
      <c r="B296" s="30"/>
      <c r="C296" s="31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75" customHeight="1">
      <c r="A297" s="30"/>
      <c r="B297" s="30"/>
      <c r="C297" s="31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75" customHeight="1">
      <c r="A298" s="30"/>
      <c r="B298" s="30"/>
      <c r="C298" s="31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75" customHeight="1">
      <c r="A299" s="30"/>
      <c r="B299" s="30"/>
      <c r="C299" s="31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75" customHeight="1">
      <c r="A300" s="30"/>
      <c r="B300" s="30"/>
      <c r="C300" s="31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75" customHeight="1">
      <c r="A301" s="30"/>
      <c r="B301" s="30"/>
      <c r="C301" s="31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75" customHeight="1">
      <c r="A302" s="30"/>
      <c r="B302" s="30"/>
      <c r="C302" s="31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75" customHeight="1">
      <c r="A303" s="30"/>
      <c r="B303" s="30"/>
      <c r="C303" s="31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5.75" customHeight="1">
      <c r="A304" s="30"/>
      <c r="B304" s="30"/>
      <c r="C304" s="31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75" customHeight="1">
      <c r="A305" s="30"/>
      <c r="B305" s="30"/>
      <c r="C305" s="31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75" customHeight="1">
      <c r="A306" s="30"/>
      <c r="B306" s="30"/>
      <c r="C306" s="31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>
      <c r="A307" s="30"/>
      <c r="B307" s="30"/>
      <c r="C307" s="31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5.75" customHeight="1">
      <c r="A308" s="30"/>
      <c r="B308" s="30"/>
      <c r="C308" s="31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5.75" customHeight="1">
      <c r="A309" s="30"/>
      <c r="B309" s="30"/>
      <c r="C309" s="31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5.75" customHeight="1">
      <c r="A310" s="30"/>
      <c r="B310" s="30"/>
      <c r="C310" s="31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5.75" customHeight="1">
      <c r="A311" s="30"/>
      <c r="B311" s="30"/>
      <c r="C311" s="31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75" customHeight="1">
      <c r="A312" s="30"/>
      <c r="B312" s="30"/>
      <c r="C312" s="31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75" customHeight="1">
      <c r="A313" s="30"/>
      <c r="B313" s="30"/>
      <c r="C313" s="31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75" customHeight="1">
      <c r="A314" s="30"/>
      <c r="B314" s="30"/>
      <c r="C314" s="31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75" customHeight="1">
      <c r="A315" s="30"/>
      <c r="B315" s="30"/>
      <c r="C315" s="31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75" customHeight="1">
      <c r="A316" s="30"/>
      <c r="B316" s="30"/>
      <c r="C316" s="31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>
      <c r="A317" s="30"/>
      <c r="B317" s="30"/>
      <c r="C317" s="31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>
      <c r="A318" s="30"/>
      <c r="B318" s="30"/>
      <c r="C318" s="31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>
      <c r="A319" s="30"/>
      <c r="B319" s="30"/>
      <c r="C319" s="31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>
      <c r="A320" s="30"/>
      <c r="B320" s="30"/>
      <c r="C320" s="31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>
      <c r="A321" s="30"/>
      <c r="B321" s="30"/>
      <c r="C321" s="31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>
      <c r="A322" s="30"/>
      <c r="B322" s="30"/>
      <c r="C322" s="31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>
      <c r="A323" s="30"/>
      <c r="B323" s="30"/>
      <c r="C323" s="31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>
      <c r="A324" s="30"/>
      <c r="B324" s="30"/>
      <c r="C324" s="31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>
      <c r="A325" s="30"/>
      <c r="B325" s="30"/>
      <c r="C325" s="31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>
      <c r="A326" s="30"/>
      <c r="B326" s="30"/>
      <c r="C326" s="31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>
      <c r="A327" s="30"/>
      <c r="B327" s="30"/>
      <c r="C327" s="31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>
      <c r="A328" s="30"/>
      <c r="B328" s="30"/>
      <c r="C328" s="31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30"/>
      <c r="B329" s="30"/>
      <c r="C329" s="31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>
      <c r="A330" s="30"/>
      <c r="B330" s="30"/>
      <c r="C330" s="31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>
      <c r="A331" s="30"/>
      <c r="B331" s="30"/>
      <c r="C331" s="31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>
      <c r="A332" s="30"/>
      <c r="B332" s="30"/>
      <c r="C332" s="31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>
      <c r="A333" s="30"/>
      <c r="B333" s="30"/>
      <c r="C333" s="31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>
      <c r="A334" s="30"/>
      <c r="B334" s="30"/>
      <c r="C334" s="31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>
      <c r="A335" s="30"/>
      <c r="B335" s="30"/>
      <c r="C335" s="31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>
      <c r="A336" s="30"/>
      <c r="B336" s="30"/>
      <c r="C336" s="31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>
      <c r="A337" s="30"/>
      <c r="B337" s="30"/>
      <c r="C337" s="31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>
      <c r="A338" s="30"/>
      <c r="B338" s="30"/>
      <c r="C338" s="31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>
      <c r="A339" s="30"/>
      <c r="B339" s="30"/>
      <c r="C339" s="31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>
      <c r="A340" s="30"/>
      <c r="B340" s="30"/>
      <c r="C340" s="31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>
      <c r="A341" s="30"/>
      <c r="B341" s="30"/>
      <c r="C341" s="31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0"/>
      <c r="B342" s="30"/>
      <c r="C342" s="31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0"/>
      <c r="B343" s="30"/>
      <c r="C343" s="31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>
      <c r="A344" s="30"/>
      <c r="B344" s="30"/>
      <c r="C344" s="31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>
      <c r="A345" s="30"/>
      <c r="B345" s="30"/>
      <c r="C345" s="31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>
      <c r="A346" s="30"/>
      <c r="B346" s="30"/>
      <c r="C346" s="31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>
      <c r="A347" s="30"/>
      <c r="B347" s="30"/>
      <c r="C347" s="31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>
      <c r="A348" s="30"/>
      <c r="B348" s="30"/>
      <c r="C348" s="31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>
      <c r="A349" s="30"/>
      <c r="B349" s="30"/>
      <c r="C349" s="31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>
      <c r="A350" s="30"/>
      <c r="B350" s="30"/>
      <c r="C350" s="31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30"/>
      <c r="B351" s="30"/>
      <c r="C351" s="31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>
      <c r="A352" s="30"/>
      <c r="B352" s="30"/>
      <c r="C352" s="31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>
      <c r="A353" s="30"/>
      <c r="B353" s="30"/>
      <c r="C353" s="31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>
      <c r="A354" s="30"/>
      <c r="B354" s="30"/>
      <c r="C354" s="31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>
      <c r="A355" s="30"/>
      <c r="B355" s="30"/>
      <c r="C355" s="31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0"/>
      <c r="B356" s="30"/>
      <c r="C356" s="31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0"/>
      <c r="B357" s="30"/>
      <c r="C357" s="31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>
      <c r="A358" s="30"/>
      <c r="B358" s="30"/>
      <c r="C358" s="31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>
      <c r="A359" s="30"/>
      <c r="B359" s="30"/>
      <c r="C359" s="31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>
      <c r="A360" s="30"/>
      <c r="B360" s="30"/>
      <c r="C360" s="31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>
      <c r="A361" s="30"/>
      <c r="B361" s="30"/>
      <c r="C361" s="31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>
      <c r="A362" s="30"/>
      <c r="B362" s="30"/>
      <c r="C362" s="31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>
      <c r="A363" s="30"/>
      <c r="B363" s="30"/>
      <c r="C363" s="31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>
      <c r="A364" s="30"/>
      <c r="B364" s="30"/>
      <c r="C364" s="31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>
      <c r="A365" s="30"/>
      <c r="B365" s="30"/>
      <c r="C365" s="31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>
      <c r="A366" s="30"/>
      <c r="B366" s="30"/>
      <c r="C366" s="31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>
      <c r="A367" s="30"/>
      <c r="B367" s="30"/>
      <c r="C367" s="31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>
      <c r="A368" s="30"/>
      <c r="B368" s="30"/>
      <c r="C368" s="31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>
      <c r="A369" s="30"/>
      <c r="B369" s="30"/>
      <c r="C369" s="31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>
      <c r="A370" s="30"/>
      <c r="B370" s="30"/>
      <c r="C370" s="31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>
      <c r="A371" s="30"/>
      <c r="B371" s="30"/>
      <c r="C371" s="31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>
      <c r="A372" s="30"/>
      <c r="B372" s="30"/>
      <c r="C372" s="31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>
      <c r="A373" s="30"/>
      <c r="B373" s="30"/>
      <c r="C373" s="31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>
      <c r="A374" s="30"/>
      <c r="B374" s="30"/>
      <c r="C374" s="31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>
      <c r="A375" s="30"/>
      <c r="B375" s="30"/>
      <c r="C375" s="31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>
      <c r="A376" s="30"/>
      <c r="B376" s="30"/>
      <c r="C376" s="31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>
      <c r="A377" s="30"/>
      <c r="B377" s="30"/>
      <c r="C377" s="31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>
      <c r="A378" s="30"/>
      <c r="B378" s="30"/>
      <c r="C378" s="31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>
      <c r="A379" s="30"/>
      <c r="B379" s="30"/>
      <c r="C379" s="31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>
      <c r="A380" s="30"/>
      <c r="B380" s="30"/>
      <c r="C380" s="31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>
      <c r="A381" s="30"/>
      <c r="B381" s="30"/>
      <c r="C381" s="31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>
      <c r="A382" s="30"/>
      <c r="B382" s="30"/>
      <c r="C382" s="31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>
      <c r="A383" s="30"/>
      <c r="B383" s="30"/>
      <c r="C383" s="31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>
      <c r="A384" s="30"/>
      <c r="B384" s="30"/>
      <c r="C384" s="3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>
      <c r="A385" s="30"/>
      <c r="B385" s="30"/>
      <c r="C385" s="3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>
      <c r="A386" s="30"/>
      <c r="B386" s="30"/>
      <c r="C386" s="3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>
      <c r="A387" s="30"/>
      <c r="B387" s="30"/>
      <c r="C387" s="31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>
      <c r="A388" s="30"/>
      <c r="B388" s="30"/>
      <c r="C388" s="31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>
      <c r="A389" s="30"/>
      <c r="B389" s="30"/>
      <c r="C389" s="31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>
      <c r="A390" s="30"/>
      <c r="B390" s="30"/>
      <c r="C390" s="31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>
      <c r="A391" s="30"/>
      <c r="B391" s="30"/>
      <c r="C391" s="31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>
      <c r="A392" s="30"/>
      <c r="B392" s="30"/>
      <c r="C392" s="31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>
      <c r="A393" s="30"/>
      <c r="B393" s="30"/>
      <c r="C393" s="31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>
      <c r="A394" s="30"/>
      <c r="B394" s="30"/>
      <c r="C394" s="31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>
      <c r="A395" s="30"/>
      <c r="B395" s="30"/>
      <c r="C395" s="31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>
      <c r="A396" s="30"/>
      <c r="B396" s="30"/>
      <c r="C396" s="31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>
      <c r="A397" s="30"/>
      <c r="B397" s="30"/>
      <c r="C397" s="31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>
      <c r="A398" s="30"/>
      <c r="B398" s="30"/>
      <c r="C398" s="31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>
      <c r="A399" s="30"/>
      <c r="B399" s="30"/>
      <c r="C399" s="31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>
      <c r="A400" s="30"/>
      <c r="B400" s="30"/>
      <c r="C400" s="31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>
      <c r="A401" s="30"/>
      <c r="B401" s="30"/>
      <c r="C401" s="31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>
      <c r="A402" s="30"/>
      <c r="B402" s="30"/>
      <c r="C402" s="31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>
      <c r="A403" s="30"/>
      <c r="B403" s="30"/>
      <c r="C403" s="31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>
      <c r="A404" s="30"/>
      <c r="B404" s="30"/>
      <c r="C404" s="31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>
      <c r="A405" s="30"/>
      <c r="B405" s="30"/>
      <c r="C405" s="31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>
      <c r="A406" s="30"/>
      <c r="B406" s="30"/>
      <c r="C406" s="31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>
      <c r="A407" s="30"/>
      <c r="B407" s="30"/>
      <c r="C407" s="31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>
      <c r="A408" s="30"/>
      <c r="B408" s="30"/>
      <c r="C408" s="31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>
      <c r="A409" s="30"/>
      <c r="B409" s="30"/>
      <c r="C409" s="31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>
      <c r="A410" s="30"/>
      <c r="B410" s="30"/>
      <c r="C410" s="31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>
      <c r="A411" s="30"/>
      <c r="B411" s="30"/>
      <c r="C411" s="31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>
      <c r="A412" s="30"/>
      <c r="B412" s="30"/>
      <c r="C412" s="31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>
      <c r="A413" s="30"/>
      <c r="B413" s="30"/>
      <c r="C413" s="31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>
      <c r="A414" s="30"/>
      <c r="B414" s="30"/>
      <c r="C414" s="31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>
      <c r="A415" s="30"/>
      <c r="B415" s="30"/>
      <c r="C415" s="31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>
      <c r="A416" s="30"/>
      <c r="B416" s="30"/>
      <c r="C416" s="31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>
      <c r="A417" s="30"/>
      <c r="B417" s="30"/>
      <c r="C417" s="31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>
      <c r="A418" s="30"/>
      <c r="B418" s="30"/>
      <c r="C418" s="31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>
      <c r="A419" s="30"/>
      <c r="B419" s="30"/>
      <c r="C419" s="3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>
      <c r="A420" s="30"/>
      <c r="B420" s="30"/>
      <c r="C420" s="3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>
      <c r="A421" s="30"/>
      <c r="B421" s="30"/>
      <c r="C421" s="3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>
      <c r="A422" s="30"/>
      <c r="B422" s="30"/>
      <c r="C422" s="31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>
      <c r="A423" s="30"/>
      <c r="B423" s="30"/>
      <c r="C423" s="31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>
      <c r="A424" s="30"/>
      <c r="B424" s="30"/>
      <c r="C424" s="31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>
      <c r="A425" s="30"/>
      <c r="B425" s="30"/>
      <c r="C425" s="31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>
      <c r="A426" s="30"/>
      <c r="B426" s="30"/>
      <c r="C426" s="31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>
      <c r="A427" s="30"/>
      <c r="B427" s="30"/>
      <c r="C427" s="31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>
      <c r="A428" s="30"/>
      <c r="B428" s="30"/>
      <c r="C428" s="31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>
      <c r="A429" s="30"/>
      <c r="B429" s="30"/>
      <c r="C429" s="31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>
      <c r="A430" s="30"/>
      <c r="B430" s="30"/>
      <c r="C430" s="31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>
      <c r="A431" s="30"/>
      <c r="B431" s="30"/>
      <c r="C431" s="31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>
      <c r="A432" s="30"/>
      <c r="B432" s="30"/>
      <c r="C432" s="31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>
      <c r="A433" s="30"/>
      <c r="B433" s="30"/>
      <c r="C433" s="31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>
      <c r="A434" s="30"/>
      <c r="B434" s="30"/>
      <c r="C434" s="31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>
      <c r="A435" s="30"/>
      <c r="B435" s="30"/>
      <c r="C435" s="31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>
      <c r="A436" s="30"/>
      <c r="B436" s="30"/>
      <c r="C436" s="31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>
      <c r="A437" s="30"/>
      <c r="B437" s="30"/>
      <c r="C437" s="31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>
      <c r="A438" s="30"/>
      <c r="B438" s="30"/>
      <c r="C438" s="31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>
      <c r="A439" s="30"/>
      <c r="B439" s="30"/>
      <c r="C439" s="31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>
      <c r="A440" s="30"/>
      <c r="B440" s="30"/>
      <c r="C440" s="31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>
      <c r="A441" s="30"/>
      <c r="B441" s="30"/>
      <c r="C441" s="31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>
      <c r="A442" s="30"/>
      <c r="B442" s="30"/>
      <c r="C442" s="31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>
      <c r="A443" s="30"/>
      <c r="B443" s="30"/>
      <c r="C443" s="31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>
      <c r="A444" s="30"/>
      <c r="B444" s="30"/>
      <c r="C444" s="31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>
      <c r="A445" s="30"/>
      <c r="B445" s="30"/>
      <c r="C445" s="31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>
      <c r="A446" s="30"/>
      <c r="B446" s="30"/>
      <c r="C446" s="31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>
      <c r="A447" s="30"/>
      <c r="B447" s="30"/>
      <c r="C447" s="31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>
      <c r="A448" s="30"/>
      <c r="B448" s="30"/>
      <c r="C448" s="31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>
      <c r="A449" s="30"/>
      <c r="B449" s="30"/>
      <c r="C449" s="31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>
      <c r="A450" s="30"/>
      <c r="B450" s="30"/>
      <c r="C450" s="31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>
      <c r="A451" s="30"/>
      <c r="B451" s="30"/>
      <c r="C451" s="31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>
      <c r="A452" s="30"/>
      <c r="B452" s="30"/>
      <c r="C452" s="31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>
      <c r="A453" s="30"/>
      <c r="B453" s="30"/>
      <c r="C453" s="31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>
      <c r="A454" s="30"/>
      <c r="B454" s="30"/>
      <c r="C454" s="31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>
      <c r="A455" s="30"/>
      <c r="B455" s="30"/>
      <c r="C455" s="31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>
      <c r="A456" s="30"/>
      <c r="B456" s="30"/>
      <c r="C456" s="31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>
      <c r="A457" s="30"/>
      <c r="B457" s="30"/>
      <c r="C457" s="31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>
      <c r="A458" s="30"/>
      <c r="B458" s="30"/>
      <c r="C458" s="31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>
      <c r="A459" s="30"/>
      <c r="B459" s="30"/>
      <c r="C459" s="31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>
      <c r="A460" s="30"/>
      <c r="B460" s="30"/>
      <c r="C460" s="31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>
      <c r="A461" s="30"/>
      <c r="B461" s="30"/>
      <c r="C461" s="31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>
      <c r="A462" s="30"/>
      <c r="B462" s="30"/>
      <c r="C462" s="31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>
      <c r="A463" s="30"/>
      <c r="B463" s="30"/>
      <c r="C463" s="31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>
      <c r="A464" s="30"/>
      <c r="B464" s="30"/>
      <c r="C464" s="31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>
      <c r="A465" s="30"/>
      <c r="B465" s="30"/>
      <c r="C465" s="31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>
      <c r="A466" s="30"/>
      <c r="B466" s="30"/>
      <c r="C466" s="31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>
      <c r="A467" s="30"/>
      <c r="B467" s="30"/>
      <c r="C467" s="31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>
      <c r="A468" s="30"/>
      <c r="B468" s="30"/>
      <c r="C468" s="31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>
      <c r="A469" s="30"/>
      <c r="B469" s="30"/>
      <c r="C469" s="31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>
      <c r="A470" s="30"/>
      <c r="B470" s="30"/>
      <c r="C470" s="31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>
      <c r="A471" s="30"/>
      <c r="B471" s="30"/>
      <c r="C471" s="31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>
      <c r="A472" s="30"/>
      <c r="B472" s="30"/>
      <c r="C472" s="31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>
      <c r="A473" s="30"/>
      <c r="B473" s="30"/>
      <c r="C473" s="31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>
      <c r="A474" s="30"/>
      <c r="B474" s="30"/>
      <c r="C474" s="31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>
      <c r="A475" s="30"/>
      <c r="B475" s="30"/>
      <c r="C475" s="31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>
      <c r="A476" s="30"/>
      <c r="B476" s="30"/>
      <c r="C476" s="31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>
      <c r="A477" s="30"/>
      <c r="B477" s="30"/>
      <c r="C477" s="31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>
      <c r="A478" s="30"/>
      <c r="B478" s="30"/>
      <c r="C478" s="31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>
      <c r="A479" s="30"/>
      <c r="B479" s="30"/>
      <c r="C479" s="31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>
      <c r="A480" s="30"/>
      <c r="B480" s="30"/>
      <c r="C480" s="31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>
      <c r="A481" s="30"/>
      <c r="B481" s="30"/>
      <c r="C481" s="31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>
      <c r="A482" s="30"/>
      <c r="B482" s="30"/>
      <c r="C482" s="31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>
      <c r="A483" s="30"/>
      <c r="B483" s="30"/>
      <c r="C483" s="31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>
      <c r="A484" s="30"/>
      <c r="B484" s="30"/>
      <c r="C484" s="31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>
      <c r="A485" s="30"/>
      <c r="B485" s="30"/>
      <c r="C485" s="31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>
      <c r="A486" s="30"/>
      <c r="B486" s="30"/>
      <c r="C486" s="31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>
      <c r="A487" s="30"/>
      <c r="B487" s="30"/>
      <c r="C487" s="31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>
      <c r="A488" s="30"/>
      <c r="B488" s="30"/>
      <c r="C488" s="31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>
      <c r="A489" s="30"/>
      <c r="B489" s="30"/>
      <c r="C489" s="31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>
      <c r="A490" s="30"/>
      <c r="B490" s="30"/>
      <c r="C490" s="31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>
      <c r="A491" s="30"/>
      <c r="B491" s="30"/>
      <c r="C491" s="31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>
      <c r="A492" s="30"/>
      <c r="B492" s="30"/>
      <c r="C492" s="31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>
      <c r="A493" s="30"/>
      <c r="B493" s="30"/>
      <c r="C493" s="31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>
      <c r="A494" s="30"/>
      <c r="B494" s="30"/>
      <c r="C494" s="31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>
      <c r="A495" s="30"/>
      <c r="B495" s="30"/>
      <c r="C495" s="31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>
      <c r="A496" s="30"/>
      <c r="B496" s="30"/>
      <c r="C496" s="31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>
      <c r="A497" s="30"/>
      <c r="B497" s="30"/>
      <c r="C497" s="31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>
      <c r="A498" s="30"/>
      <c r="B498" s="30"/>
      <c r="C498" s="31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>
      <c r="A499" s="30"/>
      <c r="B499" s="30"/>
      <c r="C499" s="31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>
      <c r="A500" s="30"/>
      <c r="B500" s="30"/>
      <c r="C500" s="31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>
      <c r="A501" s="30"/>
      <c r="B501" s="30"/>
      <c r="C501" s="31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>
      <c r="A502" s="30"/>
      <c r="B502" s="30"/>
      <c r="C502" s="31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>
      <c r="A503" s="30"/>
      <c r="B503" s="30"/>
      <c r="C503" s="31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>
      <c r="A504" s="30"/>
      <c r="B504" s="30"/>
      <c r="C504" s="31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>
      <c r="A505" s="30"/>
      <c r="B505" s="30"/>
      <c r="C505" s="31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>
      <c r="A506" s="30"/>
      <c r="B506" s="30"/>
      <c r="C506" s="31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>
      <c r="A507" s="30"/>
      <c r="B507" s="30"/>
      <c r="C507" s="31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>
      <c r="A508" s="30"/>
      <c r="B508" s="30"/>
      <c r="C508" s="31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>
      <c r="A509" s="30"/>
      <c r="B509" s="30"/>
      <c r="C509" s="31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>
      <c r="A510" s="30"/>
      <c r="B510" s="30"/>
      <c r="C510" s="31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>
      <c r="A511" s="30"/>
      <c r="B511" s="30"/>
      <c r="C511" s="31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>
      <c r="A512" s="30"/>
      <c r="B512" s="30"/>
      <c r="C512" s="31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>
      <c r="A513" s="30"/>
      <c r="B513" s="30"/>
      <c r="C513" s="31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>
      <c r="A514" s="30"/>
      <c r="B514" s="30"/>
      <c r="C514" s="31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>
      <c r="A515" s="30"/>
      <c r="B515" s="30"/>
      <c r="C515" s="31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>
      <c r="A516" s="30"/>
      <c r="B516" s="30"/>
      <c r="C516" s="31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>
      <c r="A517" s="30"/>
      <c r="B517" s="30"/>
      <c r="C517" s="31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>
      <c r="A518" s="30"/>
      <c r="B518" s="30"/>
      <c r="C518" s="31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>
      <c r="A519" s="30"/>
      <c r="B519" s="30"/>
      <c r="C519" s="31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>
      <c r="A520" s="30"/>
      <c r="B520" s="30"/>
      <c r="C520" s="31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>
      <c r="A521" s="30"/>
      <c r="B521" s="30"/>
      <c r="C521" s="31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>
      <c r="A522" s="30"/>
      <c r="B522" s="30"/>
      <c r="C522" s="31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>
      <c r="A523" s="30"/>
      <c r="B523" s="30"/>
      <c r="C523" s="31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>
      <c r="A524" s="30"/>
      <c r="B524" s="30"/>
      <c r="C524" s="31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>
      <c r="A525" s="30"/>
      <c r="B525" s="30"/>
      <c r="C525" s="31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>
      <c r="A526" s="30"/>
      <c r="B526" s="30"/>
      <c r="C526" s="31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>
      <c r="A527" s="30"/>
      <c r="B527" s="30"/>
      <c r="C527" s="31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>
      <c r="A528" s="30"/>
      <c r="B528" s="30"/>
      <c r="C528" s="31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>
      <c r="A529" s="30"/>
      <c r="B529" s="30"/>
      <c r="C529" s="31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>
      <c r="A530" s="30"/>
      <c r="B530" s="30"/>
      <c r="C530" s="31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>
      <c r="A531" s="30"/>
      <c r="B531" s="30"/>
      <c r="C531" s="31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>
      <c r="A532" s="30"/>
      <c r="B532" s="30"/>
      <c r="C532" s="31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>
      <c r="A533" s="30"/>
      <c r="B533" s="30"/>
      <c r="C533" s="31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>
      <c r="A534" s="30"/>
      <c r="B534" s="30"/>
      <c r="C534" s="31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>
      <c r="A535" s="30"/>
      <c r="B535" s="30"/>
      <c r="C535" s="31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>
      <c r="A536" s="30"/>
      <c r="B536" s="30"/>
      <c r="C536" s="31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>
      <c r="A537" s="30"/>
      <c r="B537" s="30"/>
      <c r="C537" s="31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>
      <c r="A538" s="30"/>
      <c r="B538" s="30"/>
      <c r="C538" s="31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>
      <c r="A539" s="30"/>
      <c r="B539" s="30"/>
      <c r="C539" s="31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>
      <c r="A540" s="30"/>
      <c r="B540" s="30"/>
      <c r="C540" s="31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>
      <c r="A541" s="30"/>
      <c r="B541" s="30"/>
      <c r="C541" s="31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>
      <c r="A542" s="30"/>
      <c r="B542" s="30"/>
      <c r="C542" s="31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>
      <c r="A543" s="30"/>
      <c r="B543" s="30"/>
      <c r="C543" s="31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>
      <c r="A544" s="30"/>
      <c r="B544" s="30"/>
      <c r="C544" s="31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>
      <c r="A545" s="30"/>
      <c r="B545" s="30"/>
      <c r="C545" s="31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>
      <c r="A546" s="30"/>
      <c r="B546" s="30"/>
      <c r="C546" s="31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>
      <c r="A547" s="30"/>
      <c r="B547" s="30"/>
      <c r="C547" s="31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>
      <c r="A548" s="30"/>
      <c r="B548" s="30"/>
      <c r="C548" s="31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>
      <c r="A549" s="30"/>
      <c r="B549" s="30"/>
      <c r="C549" s="31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>
      <c r="A550" s="30"/>
      <c r="B550" s="30"/>
      <c r="C550" s="31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>
      <c r="A551" s="30"/>
      <c r="B551" s="30"/>
      <c r="C551" s="31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>
      <c r="A552" s="30"/>
      <c r="B552" s="30"/>
      <c r="C552" s="31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>
      <c r="A553" s="30"/>
      <c r="B553" s="30"/>
      <c r="C553" s="31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>
      <c r="A554" s="30"/>
      <c r="B554" s="30"/>
      <c r="C554" s="31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>
      <c r="A555" s="30"/>
      <c r="B555" s="30"/>
      <c r="C555" s="31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>
      <c r="A556" s="30"/>
      <c r="B556" s="30"/>
      <c r="C556" s="31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>
      <c r="A557" s="30"/>
      <c r="B557" s="30"/>
      <c r="C557" s="31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>
      <c r="A558" s="30"/>
      <c r="B558" s="30"/>
      <c r="C558" s="31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>
      <c r="A559" s="30"/>
      <c r="B559" s="30"/>
      <c r="C559" s="31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>
      <c r="A560" s="30"/>
      <c r="B560" s="30"/>
      <c r="C560" s="31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>
      <c r="A561" s="30"/>
      <c r="B561" s="30"/>
      <c r="C561" s="31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>
      <c r="A562" s="30"/>
      <c r="B562" s="30"/>
      <c r="C562" s="31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>
      <c r="A563" s="30"/>
      <c r="B563" s="30"/>
      <c r="C563" s="31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>
      <c r="A564" s="30"/>
      <c r="B564" s="30"/>
      <c r="C564" s="31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>
      <c r="A565" s="30"/>
      <c r="B565" s="30"/>
      <c r="C565" s="31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>
      <c r="A566" s="30"/>
      <c r="B566" s="30"/>
      <c r="C566" s="31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>
      <c r="A567" s="30"/>
      <c r="B567" s="30"/>
      <c r="C567" s="31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>
      <c r="A568" s="30"/>
      <c r="B568" s="30"/>
      <c r="C568" s="31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>
      <c r="A569" s="30"/>
      <c r="B569" s="30"/>
      <c r="C569" s="31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>
      <c r="A570" s="30"/>
      <c r="B570" s="30"/>
      <c r="C570" s="31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>
      <c r="A571" s="30"/>
      <c r="B571" s="30"/>
      <c r="C571" s="31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>
      <c r="A572" s="30"/>
      <c r="B572" s="30"/>
      <c r="C572" s="31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>
      <c r="A573" s="30"/>
      <c r="B573" s="30"/>
      <c r="C573" s="31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>
      <c r="A574" s="30"/>
      <c r="B574" s="30"/>
      <c r="C574" s="31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>
      <c r="A575" s="30"/>
      <c r="B575" s="30"/>
      <c r="C575" s="31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>
      <c r="A576" s="30"/>
      <c r="B576" s="30"/>
      <c r="C576" s="31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>
      <c r="A577" s="30"/>
      <c r="B577" s="30"/>
      <c r="C577" s="31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>
      <c r="A578" s="30"/>
      <c r="B578" s="30"/>
      <c r="C578" s="31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>
      <c r="A579" s="30"/>
      <c r="B579" s="30"/>
      <c r="C579" s="31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>
      <c r="A580" s="30"/>
      <c r="B580" s="30"/>
      <c r="C580" s="31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>
      <c r="A581" s="30"/>
      <c r="B581" s="30"/>
      <c r="C581" s="31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>
      <c r="A582" s="30"/>
      <c r="B582" s="30"/>
      <c r="C582" s="31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>
      <c r="A583" s="30"/>
      <c r="B583" s="30"/>
      <c r="C583" s="31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>
      <c r="A584" s="30"/>
      <c r="B584" s="30"/>
      <c r="C584" s="31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>
      <c r="A585" s="30"/>
      <c r="B585" s="30"/>
      <c r="C585" s="31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>
      <c r="A586" s="30"/>
      <c r="B586" s="30"/>
      <c r="C586" s="31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>
      <c r="A587" s="30"/>
      <c r="B587" s="30"/>
      <c r="C587" s="31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>
      <c r="A588" s="30"/>
      <c r="B588" s="30"/>
      <c r="C588" s="31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>
      <c r="A589" s="30"/>
      <c r="B589" s="30"/>
      <c r="C589" s="31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>
      <c r="A590" s="30"/>
      <c r="B590" s="30"/>
      <c r="C590" s="31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>
      <c r="A591" s="30"/>
      <c r="B591" s="30"/>
      <c r="C591" s="31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>
      <c r="A592" s="30"/>
      <c r="B592" s="30"/>
      <c r="C592" s="31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>
      <c r="A593" s="30"/>
      <c r="B593" s="30"/>
      <c r="C593" s="31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>
      <c r="A594" s="30"/>
      <c r="B594" s="30"/>
      <c r="C594" s="31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>
      <c r="A595" s="30"/>
      <c r="B595" s="30"/>
      <c r="C595" s="31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>
      <c r="A596" s="30"/>
      <c r="B596" s="30"/>
      <c r="C596" s="31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>
      <c r="A597" s="30"/>
      <c r="B597" s="30"/>
      <c r="C597" s="31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>
      <c r="A598" s="30"/>
      <c r="B598" s="30"/>
      <c r="C598" s="31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>
      <c r="A599" s="30"/>
      <c r="B599" s="30"/>
      <c r="C599" s="31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>
      <c r="A600" s="30"/>
      <c r="B600" s="30"/>
      <c r="C600" s="31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>
      <c r="A601" s="30"/>
      <c r="B601" s="30"/>
      <c r="C601" s="31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>
      <c r="A602" s="30"/>
      <c r="B602" s="30"/>
      <c r="C602" s="31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>
      <c r="A603" s="30"/>
      <c r="B603" s="30"/>
      <c r="C603" s="31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>
      <c r="A604" s="30"/>
      <c r="B604" s="30"/>
      <c r="C604" s="31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>
      <c r="A605" s="30"/>
      <c r="B605" s="30"/>
      <c r="C605" s="31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>
      <c r="A606" s="30"/>
      <c r="B606" s="30"/>
      <c r="C606" s="31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>
      <c r="A607" s="30"/>
      <c r="B607" s="30"/>
      <c r="C607" s="31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>
      <c r="A608" s="30"/>
      <c r="B608" s="30"/>
      <c r="C608" s="31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>
      <c r="A609" s="30"/>
      <c r="B609" s="30"/>
      <c r="C609" s="31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>
      <c r="A610" s="30"/>
      <c r="B610" s="30"/>
      <c r="C610" s="31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>
      <c r="A611" s="30"/>
      <c r="B611" s="30"/>
      <c r="C611" s="31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>
      <c r="A612" s="30"/>
      <c r="B612" s="30"/>
      <c r="C612" s="31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>
      <c r="A613" s="30"/>
      <c r="B613" s="30"/>
      <c r="C613" s="31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>
      <c r="A614" s="30"/>
      <c r="B614" s="30"/>
      <c r="C614" s="31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>
      <c r="A615" s="30"/>
      <c r="B615" s="30"/>
      <c r="C615" s="31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>
      <c r="A616" s="30"/>
      <c r="B616" s="30"/>
      <c r="C616" s="31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>
      <c r="A617" s="30"/>
      <c r="B617" s="30"/>
      <c r="C617" s="31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>
      <c r="A618" s="30"/>
      <c r="B618" s="30"/>
      <c r="C618" s="31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>
      <c r="A619" s="30"/>
      <c r="B619" s="30"/>
      <c r="C619" s="31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30"/>
      <c r="B620" s="30"/>
      <c r="C620" s="31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30"/>
      <c r="B621" s="30"/>
      <c r="C621" s="31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30"/>
      <c r="B622" s="30"/>
      <c r="C622" s="31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30"/>
      <c r="B623" s="30"/>
      <c r="C623" s="31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30"/>
      <c r="B624" s="30"/>
      <c r="C624" s="31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30"/>
      <c r="B625" s="30"/>
      <c r="C625" s="31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30"/>
      <c r="B626" s="30"/>
      <c r="C626" s="31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30"/>
      <c r="B627" s="30"/>
      <c r="C627" s="31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>
      <c r="A628" s="30"/>
      <c r="B628" s="30"/>
      <c r="C628" s="31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>
      <c r="A629" s="30"/>
      <c r="B629" s="30"/>
      <c r="C629" s="31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>
      <c r="A630" s="30"/>
      <c r="B630" s="30"/>
      <c r="C630" s="31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>
      <c r="A631" s="30"/>
      <c r="B631" s="30"/>
      <c r="C631" s="31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>
      <c r="A632" s="30"/>
      <c r="B632" s="30"/>
      <c r="C632" s="31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>
      <c r="A633" s="30"/>
      <c r="B633" s="30"/>
      <c r="C633" s="31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>
      <c r="A634" s="30"/>
      <c r="B634" s="30"/>
      <c r="C634" s="31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>
      <c r="A635" s="30"/>
      <c r="B635" s="30"/>
      <c r="C635" s="31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>
      <c r="A636" s="30"/>
      <c r="B636" s="30"/>
      <c r="C636" s="31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>
      <c r="A637" s="30"/>
      <c r="B637" s="30"/>
      <c r="C637" s="31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>
      <c r="A638" s="30"/>
      <c r="B638" s="30"/>
      <c r="C638" s="31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>
      <c r="A639" s="30"/>
      <c r="B639" s="30"/>
      <c r="C639" s="31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>
      <c r="A640" s="30"/>
      <c r="B640" s="30"/>
      <c r="C640" s="31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>
      <c r="A641" s="30"/>
      <c r="B641" s="30"/>
      <c r="C641" s="31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>
      <c r="A642" s="30"/>
      <c r="B642" s="30"/>
      <c r="C642" s="31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30"/>
      <c r="B643" s="30"/>
      <c r="C643" s="31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>
      <c r="A644" s="30"/>
      <c r="B644" s="30"/>
      <c r="C644" s="31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>
      <c r="A645" s="30"/>
      <c r="B645" s="30"/>
      <c r="C645" s="31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>
      <c r="A646" s="30"/>
      <c r="B646" s="30"/>
      <c r="C646" s="31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>
      <c r="A647" s="30"/>
      <c r="B647" s="30"/>
      <c r="C647" s="31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>
      <c r="A648" s="30"/>
      <c r="B648" s="30"/>
      <c r="C648" s="31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>
      <c r="A649" s="30"/>
      <c r="B649" s="30"/>
      <c r="C649" s="31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>
      <c r="A650" s="30"/>
      <c r="B650" s="30"/>
      <c r="C650" s="31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>
      <c r="A651" s="30"/>
      <c r="B651" s="30"/>
      <c r="C651" s="31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>
      <c r="A652" s="30"/>
      <c r="B652" s="30"/>
      <c r="C652" s="31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>
      <c r="A653" s="30"/>
      <c r="B653" s="30"/>
      <c r="C653" s="31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>
      <c r="A654" s="30"/>
      <c r="B654" s="30"/>
      <c r="C654" s="31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>
      <c r="A655" s="30"/>
      <c r="B655" s="30"/>
      <c r="C655" s="31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>
      <c r="A656" s="30"/>
      <c r="B656" s="30"/>
      <c r="C656" s="31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>
      <c r="A657" s="30"/>
      <c r="B657" s="30"/>
      <c r="C657" s="31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>
      <c r="A658" s="30"/>
      <c r="B658" s="30"/>
      <c r="C658" s="31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>
      <c r="A659" s="30"/>
      <c r="B659" s="30"/>
      <c r="C659" s="31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>
      <c r="A660" s="30"/>
      <c r="B660" s="30"/>
      <c r="C660" s="31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>
      <c r="A661" s="30"/>
      <c r="B661" s="30"/>
      <c r="C661" s="31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>
      <c r="A662" s="30"/>
      <c r="B662" s="30"/>
      <c r="C662" s="31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>
      <c r="A663" s="30"/>
      <c r="B663" s="30"/>
      <c r="C663" s="31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>
      <c r="A664" s="30"/>
      <c r="B664" s="30"/>
      <c r="C664" s="31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>
      <c r="A665" s="30"/>
      <c r="B665" s="30"/>
      <c r="C665" s="31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>
      <c r="A666" s="30"/>
      <c r="B666" s="30"/>
      <c r="C666" s="31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>
      <c r="A667" s="30"/>
      <c r="B667" s="30"/>
      <c r="C667" s="31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>
      <c r="A668" s="30"/>
      <c r="B668" s="30"/>
      <c r="C668" s="31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>
      <c r="A669" s="30"/>
      <c r="B669" s="30"/>
      <c r="C669" s="31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>
      <c r="A670" s="30"/>
      <c r="B670" s="30"/>
      <c r="C670" s="31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>
      <c r="A671" s="30"/>
      <c r="B671" s="30"/>
      <c r="C671" s="31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>
      <c r="A672" s="30"/>
      <c r="B672" s="30"/>
      <c r="C672" s="31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30"/>
      <c r="B673" s="30"/>
      <c r="C673" s="31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30"/>
      <c r="B674" s="30"/>
      <c r="C674" s="31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30"/>
      <c r="B675" s="30"/>
      <c r="C675" s="31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30"/>
      <c r="B676" s="30"/>
      <c r="C676" s="31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30"/>
      <c r="B677" s="30"/>
      <c r="C677" s="31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30"/>
      <c r="B678" s="30"/>
      <c r="C678" s="31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30"/>
      <c r="B679" s="30"/>
      <c r="C679" s="31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30"/>
      <c r="B680" s="30"/>
      <c r="C680" s="31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30"/>
      <c r="B681" s="30"/>
      <c r="C681" s="31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>
      <c r="A682" s="30"/>
      <c r="B682" s="30"/>
      <c r="C682" s="31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>
      <c r="A683" s="30"/>
      <c r="B683" s="30"/>
      <c r="C683" s="31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>
      <c r="A684" s="30"/>
      <c r="B684" s="30"/>
      <c r="C684" s="31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>
      <c r="A685" s="30"/>
      <c r="B685" s="30"/>
      <c r="C685" s="31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30"/>
      <c r="B686" s="30"/>
      <c r="C686" s="31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30"/>
      <c r="B687" s="30"/>
      <c r="C687" s="31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30"/>
      <c r="B688" s="30"/>
      <c r="C688" s="31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30"/>
      <c r="B689" s="30"/>
      <c r="C689" s="31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30"/>
      <c r="B690" s="30"/>
      <c r="C690" s="31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30"/>
      <c r="B691" s="30"/>
      <c r="C691" s="31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30"/>
      <c r="B692" s="30"/>
      <c r="C692" s="31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30"/>
      <c r="B693" s="30"/>
      <c r="C693" s="31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30"/>
      <c r="B694" s="30"/>
      <c r="C694" s="31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30"/>
      <c r="B695" s="30"/>
      <c r="C695" s="31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30"/>
      <c r="B696" s="30"/>
      <c r="C696" s="31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30"/>
      <c r="B697" s="30"/>
      <c r="C697" s="31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30"/>
      <c r="B698" s="30"/>
      <c r="C698" s="31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30"/>
      <c r="B699" s="30"/>
      <c r="C699" s="31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30"/>
      <c r="B700" s="30"/>
      <c r="C700" s="31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30"/>
      <c r="B701" s="30"/>
      <c r="C701" s="31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>
      <c r="A702" s="30"/>
      <c r="B702" s="30"/>
      <c r="C702" s="31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>
      <c r="A703" s="30"/>
      <c r="B703" s="30"/>
      <c r="C703" s="31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>
      <c r="A704" s="30"/>
      <c r="B704" s="30"/>
      <c r="C704" s="31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>
      <c r="A705" s="30"/>
      <c r="B705" s="30"/>
      <c r="C705" s="31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>
      <c r="A706" s="30"/>
      <c r="B706" s="30"/>
      <c r="C706" s="31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>
      <c r="A707" s="30"/>
      <c r="B707" s="30"/>
      <c r="C707" s="31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>
      <c r="A708" s="30"/>
      <c r="B708" s="30"/>
      <c r="C708" s="31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>
      <c r="A709" s="30"/>
      <c r="B709" s="30"/>
      <c r="C709" s="31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>
      <c r="A710" s="30"/>
      <c r="B710" s="30"/>
      <c r="C710" s="31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>
      <c r="A711" s="30"/>
      <c r="B711" s="30"/>
      <c r="C711" s="31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>
      <c r="A712" s="30"/>
      <c r="B712" s="30"/>
      <c r="C712" s="31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>
      <c r="A713" s="30"/>
      <c r="B713" s="30"/>
      <c r="C713" s="31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>
      <c r="A714" s="30"/>
      <c r="B714" s="30"/>
      <c r="C714" s="31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>
      <c r="A715" s="30"/>
      <c r="B715" s="30"/>
      <c r="C715" s="31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>
      <c r="A716" s="30"/>
      <c r="B716" s="30"/>
      <c r="C716" s="31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>
      <c r="A717" s="30"/>
      <c r="B717" s="30"/>
      <c r="C717" s="31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>
      <c r="A718" s="30"/>
      <c r="B718" s="30"/>
      <c r="C718" s="31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>
      <c r="A719" s="30"/>
      <c r="B719" s="30"/>
      <c r="C719" s="31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>
      <c r="A720" s="30"/>
      <c r="B720" s="30"/>
      <c r="C720" s="31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>
      <c r="A721" s="30"/>
      <c r="B721" s="30"/>
      <c r="C721" s="31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>
      <c r="A722" s="30"/>
      <c r="B722" s="30"/>
      <c r="C722" s="31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>
      <c r="A723" s="30"/>
      <c r="B723" s="30"/>
      <c r="C723" s="31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>
      <c r="A724" s="30"/>
      <c r="B724" s="30"/>
      <c r="C724" s="31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>
      <c r="A725" s="30"/>
      <c r="B725" s="30"/>
      <c r="C725" s="31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>
      <c r="A726" s="30"/>
      <c r="B726" s="30"/>
      <c r="C726" s="31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>
      <c r="A727" s="30"/>
      <c r="B727" s="30"/>
      <c r="C727" s="31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>
      <c r="A728" s="30"/>
      <c r="B728" s="30"/>
      <c r="C728" s="31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>
      <c r="A729" s="30"/>
      <c r="B729" s="30"/>
      <c r="C729" s="31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>
      <c r="A730" s="30"/>
      <c r="B730" s="30"/>
      <c r="C730" s="31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>
      <c r="A731" s="30"/>
      <c r="B731" s="30"/>
      <c r="C731" s="31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>
      <c r="A732" s="30"/>
      <c r="B732" s="30"/>
      <c r="C732" s="31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>
      <c r="A733" s="30"/>
      <c r="B733" s="30"/>
      <c r="C733" s="31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>
      <c r="A734" s="30"/>
      <c r="B734" s="30"/>
      <c r="C734" s="31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>
      <c r="A735" s="30"/>
      <c r="B735" s="30"/>
      <c r="C735" s="31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>
      <c r="A736" s="30"/>
      <c r="B736" s="30"/>
      <c r="C736" s="31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>
      <c r="A737" s="30"/>
      <c r="B737" s="30"/>
      <c r="C737" s="31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>
      <c r="A738" s="30"/>
      <c r="B738" s="30"/>
      <c r="C738" s="31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>
      <c r="A739" s="30"/>
      <c r="B739" s="30"/>
      <c r="C739" s="31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>
      <c r="A740" s="30"/>
      <c r="B740" s="30"/>
      <c r="C740" s="31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>
      <c r="A741" s="30"/>
      <c r="B741" s="30"/>
      <c r="C741" s="31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>
      <c r="A742" s="30"/>
      <c r="B742" s="30"/>
      <c r="C742" s="31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>
      <c r="A743" s="30"/>
      <c r="B743" s="30"/>
      <c r="C743" s="31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>
      <c r="A744" s="30"/>
      <c r="B744" s="30"/>
      <c r="C744" s="31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>
      <c r="A745" s="30"/>
      <c r="B745" s="30"/>
      <c r="C745" s="31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>
      <c r="A746" s="30"/>
      <c r="B746" s="30"/>
      <c r="C746" s="31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>
      <c r="A747" s="30"/>
      <c r="B747" s="30"/>
      <c r="C747" s="31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>
      <c r="A748" s="30"/>
      <c r="B748" s="30"/>
      <c r="C748" s="31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>
      <c r="A749" s="30"/>
      <c r="B749" s="30"/>
      <c r="C749" s="31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>
      <c r="A750" s="30"/>
      <c r="B750" s="30"/>
      <c r="C750" s="31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>
      <c r="A751" s="30"/>
      <c r="B751" s="30"/>
      <c r="C751" s="31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>
      <c r="A752" s="30"/>
      <c r="B752" s="30"/>
      <c r="C752" s="31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>
      <c r="A753" s="30"/>
      <c r="B753" s="30"/>
      <c r="C753" s="31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>
      <c r="A754" s="30"/>
      <c r="B754" s="30"/>
      <c r="C754" s="31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>
      <c r="A755" s="30"/>
      <c r="B755" s="30"/>
      <c r="C755" s="31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>
      <c r="A756" s="30"/>
      <c r="B756" s="30"/>
      <c r="C756" s="31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>
      <c r="A757" s="30"/>
      <c r="B757" s="30"/>
      <c r="C757" s="31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>
      <c r="A758" s="30"/>
      <c r="B758" s="30"/>
      <c r="C758" s="31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>
      <c r="A759" s="30"/>
      <c r="B759" s="30"/>
      <c r="C759" s="31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>
      <c r="A760" s="30"/>
      <c r="B760" s="30"/>
      <c r="C760" s="31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>
      <c r="A761" s="30"/>
      <c r="B761" s="30"/>
      <c r="C761" s="31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>
      <c r="A762" s="30"/>
      <c r="B762" s="30"/>
      <c r="C762" s="31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>
      <c r="A763" s="30"/>
      <c r="B763" s="30"/>
      <c r="C763" s="31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>
      <c r="A764" s="30"/>
      <c r="B764" s="30"/>
      <c r="C764" s="31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>
      <c r="A765" s="30"/>
      <c r="B765" s="30"/>
      <c r="C765" s="31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>
      <c r="A766" s="30"/>
      <c r="B766" s="30"/>
      <c r="C766" s="31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>
      <c r="A767" s="30"/>
      <c r="B767" s="30"/>
      <c r="C767" s="31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>
      <c r="A768" s="30"/>
      <c r="B768" s="30"/>
      <c r="C768" s="31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>
      <c r="A769" s="30"/>
      <c r="B769" s="30"/>
      <c r="C769" s="31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>
      <c r="A770" s="30"/>
      <c r="B770" s="30"/>
      <c r="C770" s="31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>
      <c r="A771" s="30"/>
      <c r="B771" s="30"/>
      <c r="C771" s="31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>
      <c r="A772" s="30"/>
      <c r="B772" s="30"/>
      <c r="C772" s="31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>
      <c r="A773" s="30"/>
      <c r="B773" s="30"/>
      <c r="C773" s="31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>
      <c r="A774" s="30"/>
      <c r="B774" s="30"/>
      <c r="C774" s="31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>
      <c r="A775" s="30"/>
      <c r="B775" s="30"/>
      <c r="C775" s="31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>
      <c r="A776" s="30"/>
      <c r="B776" s="30"/>
      <c r="C776" s="31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>
      <c r="A777" s="30"/>
      <c r="B777" s="30"/>
      <c r="C777" s="31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>
      <c r="A778" s="30"/>
      <c r="B778" s="30"/>
      <c r="C778" s="31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>
      <c r="A779" s="30"/>
      <c r="B779" s="30"/>
      <c r="C779" s="31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>
      <c r="A780" s="30"/>
      <c r="B780" s="30"/>
      <c r="C780" s="31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>
      <c r="A781" s="30"/>
      <c r="B781" s="30"/>
      <c r="C781" s="31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>
      <c r="A782" s="30"/>
      <c r="B782" s="30"/>
      <c r="C782" s="31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>
      <c r="A783" s="30"/>
      <c r="B783" s="30"/>
      <c r="C783" s="31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>
      <c r="A784" s="30"/>
      <c r="B784" s="30"/>
      <c r="C784" s="31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>
      <c r="A785" s="30"/>
      <c r="B785" s="30"/>
      <c r="C785" s="31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>
      <c r="A786" s="30"/>
      <c r="B786" s="30"/>
      <c r="C786" s="31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>
      <c r="A787" s="30"/>
      <c r="B787" s="30"/>
      <c r="C787" s="31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>
      <c r="A788" s="30"/>
      <c r="B788" s="30"/>
      <c r="C788" s="31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>
      <c r="A789" s="30"/>
      <c r="B789" s="30"/>
      <c r="C789" s="31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>
      <c r="A790" s="30"/>
      <c r="B790" s="30"/>
      <c r="C790" s="31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>
      <c r="A791" s="30"/>
      <c r="B791" s="30"/>
      <c r="C791" s="31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30"/>
      <c r="B792" s="30"/>
      <c r="C792" s="31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>
      <c r="A793" s="30"/>
      <c r="B793" s="30"/>
      <c r="C793" s="31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>
      <c r="A794" s="30"/>
      <c r="B794" s="30"/>
      <c r="C794" s="31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>
      <c r="A795" s="30"/>
      <c r="B795" s="30"/>
      <c r="C795" s="31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>
      <c r="A796" s="30"/>
      <c r="B796" s="30"/>
      <c r="C796" s="31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>
      <c r="A797" s="30"/>
      <c r="B797" s="30"/>
      <c r="C797" s="31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>
      <c r="A798" s="30"/>
      <c r="B798" s="30"/>
      <c r="C798" s="31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>
      <c r="A799" s="30"/>
      <c r="B799" s="30"/>
      <c r="C799" s="31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>
      <c r="A800" s="30"/>
      <c r="B800" s="30"/>
      <c r="C800" s="31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>
      <c r="A801" s="30"/>
      <c r="B801" s="30"/>
      <c r="C801" s="31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>
      <c r="A802" s="30"/>
      <c r="B802" s="30"/>
      <c r="C802" s="31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>
      <c r="A803" s="30"/>
      <c r="B803" s="30"/>
      <c r="C803" s="31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>
      <c r="A804" s="30"/>
      <c r="B804" s="30"/>
      <c r="C804" s="31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>
      <c r="A805" s="30"/>
      <c r="B805" s="30"/>
      <c r="C805" s="31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>
      <c r="A806" s="30"/>
      <c r="B806" s="30"/>
      <c r="C806" s="31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>
      <c r="A807" s="30"/>
      <c r="B807" s="30"/>
      <c r="C807" s="31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>
      <c r="A808" s="30"/>
      <c r="B808" s="30"/>
      <c r="C808" s="31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>
      <c r="A809" s="30"/>
      <c r="B809" s="30"/>
      <c r="C809" s="31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>
      <c r="A810" s="30"/>
      <c r="B810" s="30"/>
      <c r="C810" s="31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>
      <c r="A811" s="30"/>
      <c r="B811" s="30"/>
      <c r="C811" s="31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>
      <c r="A812" s="30"/>
      <c r="B812" s="30"/>
      <c r="C812" s="31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>
      <c r="A813" s="30"/>
      <c r="B813" s="30"/>
      <c r="C813" s="31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30"/>
      <c r="B814" s="30"/>
      <c r="C814" s="31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>
      <c r="A815" s="30"/>
      <c r="B815" s="30"/>
      <c r="C815" s="31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>
      <c r="A816" s="30"/>
      <c r="B816" s="30"/>
      <c r="C816" s="31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>
      <c r="A817" s="30"/>
      <c r="B817" s="30"/>
      <c r="C817" s="31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>
      <c r="A818" s="30"/>
      <c r="B818" s="30"/>
      <c r="C818" s="31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>
      <c r="A819" s="30"/>
      <c r="B819" s="30"/>
      <c r="C819" s="31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>
      <c r="A820" s="30"/>
      <c r="B820" s="30"/>
      <c r="C820" s="31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>
      <c r="A821" s="30"/>
      <c r="B821" s="30"/>
      <c r="C821" s="31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>
      <c r="A822" s="30"/>
      <c r="B822" s="30"/>
      <c r="C822" s="31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>
      <c r="A823" s="30"/>
      <c r="B823" s="30"/>
      <c r="C823" s="31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>
      <c r="A824" s="30"/>
      <c r="B824" s="30"/>
      <c r="C824" s="31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>
      <c r="A825" s="30"/>
      <c r="B825" s="30"/>
      <c r="C825" s="31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>
      <c r="A826" s="30"/>
      <c r="B826" s="30"/>
      <c r="C826" s="31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>
      <c r="A827" s="30"/>
      <c r="B827" s="30"/>
      <c r="C827" s="31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>
      <c r="A828" s="30"/>
      <c r="B828" s="30"/>
      <c r="C828" s="31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>
      <c r="A829" s="30"/>
      <c r="B829" s="30"/>
      <c r="C829" s="31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>
      <c r="A830" s="30"/>
      <c r="B830" s="30"/>
      <c r="C830" s="31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>
      <c r="A831" s="30"/>
      <c r="B831" s="30"/>
      <c r="C831" s="31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>
      <c r="A832" s="30"/>
      <c r="B832" s="30"/>
      <c r="C832" s="31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>
      <c r="A833" s="30"/>
      <c r="B833" s="30"/>
      <c r="C833" s="31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>
      <c r="A834" s="30"/>
      <c r="B834" s="30"/>
      <c r="C834" s="31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>
      <c r="A835" s="30"/>
      <c r="B835" s="30"/>
      <c r="C835" s="31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30"/>
      <c r="B836" s="30"/>
      <c r="C836" s="31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>
      <c r="A837" s="30"/>
      <c r="B837" s="30"/>
      <c r="C837" s="31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>
      <c r="A838" s="30"/>
      <c r="B838" s="30"/>
      <c r="C838" s="31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>
      <c r="A839" s="30"/>
      <c r="B839" s="30"/>
      <c r="C839" s="31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>
      <c r="A840" s="30"/>
      <c r="B840" s="30"/>
      <c r="C840" s="31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>
      <c r="A841" s="30"/>
      <c r="B841" s="30"/>
      <c r="C841" s="31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>
      <c r="A842" s="30"/>
      <c r="B842" s="30"/>
      <c r="C842" s="31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>
      <c r="A843" s="30"/>
      <c r="B843" s="30"/>
      <c r="C843" s="31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>
      <c r="A844" s="30"/>
      <c r="B844" s="30"/>
      <c r="C844" s="31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>
      <c r="A845" s="30"/>
      <c r="B845" s="30"/>
      <c r="C845" s="31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>
      <c r="A846" s="30"/>
      <c r="B846" s="30"/>
      <c r="C846" s="31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>
      <c r="A847" s="30"/>
      <c r="B847" s="30"/>
      <c r="C847" s="31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>
      <c r="A848" s="30"/>
      <c r="B848" s="30"/>
      <c r="C848" s="31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>
      <c r="A849" s="30"/>
      <c r="B849" s="30"/>
      <c r="C849" s="31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>
      <c r="A850" s="30"/>
      <c r="B850" s="30"/>
      <c r="C850" s="31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>
      <c r="A851" s="30"/>
      <c r="B851" s="30"/>
      <c r="C851" s="31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>
      <c r="A852" s="30"/>
      <c r="B852" s="30"/>
      <c r="C852" s="31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>
      <c r="A853" s="30"/>
      <c r="B853" s="30"/>
      <c r="C853" s="31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>
      <c r="A854" s="30"/>
      <c r="B854" s="30"/>
      <c r="C854" s="31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>
      <c r="A855" s="30"/>
      <c r="B855" s="30"/>
      <c r="C855" s="31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>
      <c r="A856" s="30"/>
      <c r="B856" s="30"/>
      <c r="C856" s="31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>
      <c r="A857" s="30"/>
      <c r="B857" s="30"/>
      <c r="C857" s="31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A858" s="30"/>
      <c r="B858" s="30"/>
      <c r="C858" s="31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>
      <c r="A859" s="30"/>
      <c r="B859" s="30"/>
      <c r="C859" s="31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>
      <c r="A860" s="30"/>
      <c r="B860" s="30"/>
      <c r="C860" s="31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>
      <c r="A861" s="30"/>
      <c r="B861" s="30"/>
      <c r="C861" s="31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>
      <c r="A862" s="30"/>
      <c r="B862" s="30"/>
      <c r="C862" s="31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>
      <c r="A863" s="30"/>
      <c r="B863" s="30"/>
      <c r="C863" s="31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>
      <c r="A864" s="30"/>
      <c r="B864" s="30"/>
      <c r="C864" s="31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>
      <c r="A865" s="30"/>
      <c r="B865" s="30"/>
      <c r="C865" s="31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>
      <c r="A866" s="30"/>
      <c r="B866" s="30"/>
      <c r="C866" s="31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>
      <c r="A867" s="30"/>
      <c r="B867" s="30"/>
      <c r="C867" s="31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>
      <c r="A868" s="30"/>
      <c r="B868" s="30"/>
      <c r="C868" s="31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>
      <c r="A869" s="30"/>
      <c r="B869" s="30"/>
      <c r="C869" s="31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>
      <c r="A870" s="30"/>
      <c r="B870" s="30"/>
      <c r="C870" s="31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>
      <c r="A871" s="30"/>
      <c r="B871" s="30"/>
      <c r="C871" s="31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>
      <c r="A872" s="30"/>
      <c r="B872" s="30"/>
      <c r="C872" s="31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>
      <c r="A873" s="30"/>
      <c r="B873" s="30"/>
      <c r="C873" s="31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>
      <c r="A874" s="30"/>
      <c r="B874" s="30"/>
      <c r="C874" s="31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>
      <c r="A875" s="30"/>
      <c r="B875" s="30"/>
      <c r="C875" s="31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>
      <c r="A876" s="30"/>
      <c r="B876" s="30"/>
      <c r="C876" s="31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>
      <c r="A877" s="30"/>
      <c r="B877" s="30"/>
      <c r="C877" s="31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>
      <c r="A878" s="30"/>
      <c r="B878" s="30"/>
      <c r="C878" s="31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>
      <c r="A879" s="30"/>
      <c r="B879" s="30"/>
      <c r="C879" s="31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30"/>
      <c r="B880" s="30"/>
      <c r="C880" s="31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>
      <c r="A881" s="30"/>
      <c r="B881" s="30"/>
      <c r="C881" s="31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>
      <c r="A882" s="30"/>
      <c r="B882" s="30"/>
      <c r="C882" s="31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>
      <c r="A883" s="30"/>
      <c r="B883" s="30"/>
      <c r="C883" s="31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>
      <c r="A884" s="30"/>
      <c r="B884" s="30"/>
      <c r="C884" s="31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>
      <c r="A885" s="30"/>
      <c r="B885" s="30"/>
      <c r="C885" s="31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>
      <c r="A886" s="30"/>
      <c r="B886" s="30"/>
      <c r="C886" s="31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>
      <c r="A887" s="30"/>
      <c r="B887" s="30"/>
      <c r="C887" s="31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>
      <c r="A888" s="30"/>
      <c r="B888" s="30"/>
      <c r="C888" s="31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>
      <c r="A889" s="30"/>
      <c r="B889" s="30"/>
      <c r="C889" s="31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>
      <c r="A890" s="30"/>
      <c r="B890" s="30"/>
      <c r="C890" s="31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>
      <c r="A891" s="30"/>
      <c r="B891" s="30"/>
      <c r="C891" s="31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>
      <c r="A892" s="30"/>
      <c r="B892" s="30"/>
      <c r="C892" s="31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>
      <c r="A893" s="30"/>
      <c r="B893" s="30"/>
      <c r="C893" s="31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>
      <c r="A894" s="30"/>
      <c r="B894" s="30"/>
      <c r="C894" s="31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>
      <c r="A895" s="30"/>
      <c r="B895" s="30"/>
      <c r="C895" s="31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>
      <c r="A896" s="30"/>
      <c r="B896" s="30"/>
      <c r="C896" s="31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>
      <c r="A897" s="30"/>
      <c r="B897" s="30"/>
      <c r="C897" s="31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>
      <c r="A898" s="30"/>
      <c r="B898" s="30"/>
      <c r="C898" s="31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>
      <c r="A899" s="30"/>
      <c r="B899" s="30"/>
      <c r="C899" s="31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>
      <c r="A900" s="30"/>
      <c r="B900" s="30"/>
      <c r="C900" s="31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>
      <c r="A901" s="30"/>
      <c r="B901" s="30"/>
      <c r="C901" s="31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30"/>
      <c r="B902" s="30"/>
      <c r="C902" s="31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>
      <c r="A903" s="30"/>
      <c r="B903" s="30"/>
      <c r="C903" s="31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>
      <c r="A904" s="30"/>
      <c r="B904" s="30"/>
      <c r="C904" s="31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>
      <c r="A905" s="30"/>
      <c r="B905" s="30"/>
      <c r="C905" s="31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>
      <c r="A906" s="30"/>
      <c r="B906" s="30"/>
      <c r="C906" s="31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>
      <c r="A907" s="30"/>
      <c r="B907" s="30"/>
      <c r="C907" s="31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>
      <c r="A908" s="30"/>
      <c r="B908" s="30"/>
      <c r="C908" s="31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>
      <c r="A909" s="30"/>
      <c r="B909" s="30"/>
      <c r="C909" s="31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>
      <c r="A910" s="30"/>
      <c r="B910" s="30"/>
      <c r="C910" s="31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>
      <c r="A911" s="30"/>
      <c r="B911" s="30"/>
      <c r="C911" s="31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>
      <c r="A912" s="30"/>
      <c r="B912" s="30"/>
      <c r="C912" s="31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>
      <c r="A913" s="30"/>
      <c r="B913" s="30"/>
      <c r="C913" s="31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>
      <c r="A914" s="30"/>
      <c r="B914" s="30"/>
      <c r="C914" s="31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>
      <c r="A915" s="30"/>
      <c r="B915" s="30"/>
      <c r="C915" s="31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>
      <c r="A916" s="30"/>
      <c r="B916" s="30"/>
      <c r="C916" s="31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>
      <c r="A917" s="30"/>
      <c r="B917" s="30"/>
      <c r="C917" s="31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>
      <c r="A918" s="30"/>
      <c r="B918" s="30"/>
      <c r="C918" s="31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>
      <c r="A919" s="30"/>
      <c r="B919" s="30"/>
      <c r="C919" s="31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>
      <c r="A920" s="30"/>
      <c r="B920" s="30"/>
      <c r="C920" s="31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>
      <c r="A921" s="30"/>
      <c r="B921" s="30"/>
      <c r="C921" s="31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>
      <c r="A922" s="30"/>
      <c r="B922" s="30"/>
      <c r="C922" s="31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>
      <c r="A923" s="30"/>
      <c r="B923" s="30"/>
      <c r="C923" s="31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30"/>
      <c r="B924" s="30"/>
      <c r="C924" s="31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>
      <c r="A925" s="30"/>
      <c r="B925" s="30"/>
      <c r="C925" s="31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>
      <c r="A926" s="30"/>
      <c r="B926" s="30"/>
      <c r="C926" s="31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>
      <c r="A927" s="30"/>
      <c r="B927" s="30"/>
      <c r="C927" s="31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>
      <c r="A928" s="30"/>
      <c r="B928" s="30"/>
      <c r="C928" s="31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>
      <c r="A929" s="30"/>
      <c r="B929" s="30"/>
      <c r="C929" s="31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>
      <c r="A930" s="30"/>
      <c r="B930" s="30"/>
      <c r="C930" s="31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>
      <c r="A931" s="30"/>
      <c r="B931" s="30"/>
      <c r="C931" s="31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>
      <c r="A932" s="30"/>
      <c r="B932" s="30"/>
      <c r="C932" s="31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>
      <c r="A933" s="30"/>
      <c r="B933" s="30"/>
      <c r="C933" s="31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>
      <c r="A934" s="30"/>
      <c r="B934" s="30"/>
      <c r="C934" s="31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>
      <c r="A935" s="30"/>
      <c r="B935" s="30"/>
      <c r="C935" s="31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>
      <c r="A936" s="30"/>
      <c r="B936" s="30"/>
      <c r="C936" s="31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>
      <c r="A937" s="30"/>
      <c r="B937" s="30"/>
      <c r="C937" s="31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>
      <c r="A938" s="30"/>
      <c r="B938" s="30"/>
      <c r="C938" s="31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>
      <c r="A939" s="30"/>
      <c r="B939" s="30"/>
      <c r="C939" s="31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>
      <c r="A940" s="30"/>
      <c r="B940" s="30"/>
      <c r="C940" s="31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>
      <c r="A941" s="30"/>
      <c r="B941" s="30"/>
      <c r="C941" s="31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>
      <c r="A942" s="30"/>
      <c r="B942" s="30"/>
      <c r="C942" s="31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>
      <c r="A943" s="30"/>
      <c r="B943" s="30"/>
      <c r="C943" s="31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>
      <c r="A944" s="30"/>
      <c r="B944" s="30"/>
      <c r="C944" s="31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>
      <c r="A945" s="30"/>
      <c r="B945" s="30"/>
      <c r="C945" s="31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>
      <c r="A946" s="30"/>
      <c r="B946" s="30"/>
      <c r="C946" s="31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>
      <c r="A947" s="30"/>
      <c r="B947" s="30"/>
      <c r="C947" s="31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>
      <c r="A948" s="30"/>
      <c r="B948" s="30"/>
      <c r="C948" s="31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>
      <c r="A949" s="30"/>
      <c r="B949" s="30"/>
      <c r="C949" s="31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>
      <c r="A950" s="30"/>
      <c r="B950" s="30"/>
      <c r="C950" s="31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>
      <c r="A951" s="30"/>
      <c r="B951" s="30"/>
      <c r="C951" s="31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>
      <c r="A952" s="30"/>
      <c r="B952" s="30"/>
      <c r="C952" s="31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>
      <c r="A953" s="30"/>
      <c r="B953" s="30"/>
      <c r="C953" s="31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>
      <c r="A954" s="30"/>
      <c r="B954" s="30"/>
      <c r="C954" s="31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>
      <c r="A955" s="30"/>
      <c r="B955" s="30"/>
      <c r="C955" s="31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>
      <c r="A956" s="30"/>
      <c r="B956" s="30"/>
      <c r="C956" s="31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>
      <c r="A957" s="30"/>
      <c r="B957" s="30"/>
      <c r="C957" s="31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>
      <c r="A958" s="30"/>
      <c r="B958" s="30"/>
      <c r="C958" s="31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>
      <c r="A959" s="30"/>
      <c r="B959" s="30"/>
      <c r="C959" s="31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>
      <c r="A960" s="30"/>
      <c r="B960" s="30"/>
      <c r="C960" s="31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>
      <c r="A961" s="30"/>
      <c r="B961" s="30"/>
      <c r="C961" s="31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>
      <c r="A962" s="30"/>
      <c r="B962" s="30"/>
      <c r="C962" s="31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>
      <c r="A963" s="30"/>
      <c r="B963" s="30"/>
      <c r="C963" s="31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>
      <c r="A964" s="30"/>
      <c r="B964" s="30"/>
      <c r="C964" s="31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>
      <c r="A965" s="30"/>
      <c r="B965" s="30"/>
      <c r="C965" s="31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>
      <c r="A966" s="30"/>
      <c r="B966" s="30"/>
      <c r="C966" s="31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>
      <c r="A967" s="30"/>
      <c r="B967" s="30"/>
      <c r="C967" s="31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>
      <c r="A968" s="30"/>
      <c r="B968" s="30"/>
      <c r="C968" s="31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>
      <c r="A969" s="30"/>
      <c r="B969" s="30"/>
      <c r="C969" s="31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>
      <c r="A970" s="30"/>
      <c r="B970" s="30"/>
      <c r="C970" s="31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>
      <c r="A971" s="30"/>
      <c r="B971" s="30"/>
      <c r="C971" s="31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>
      <c r="A972" s="30"/>
      <c r="B972" s="30"/>
      <c r="C972" s="31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>
      <c r="A973" s="30"/>
      <c r="B973" s="30"/>
      <c r="C973" s="31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>
      <c r="A974" s="30"/>
      <c r="B974" s="30"/>
      <c r="C974" s="31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>
      <c r="A975" s="30"/>
      <c r="B975" s="30"/>
      <c r="C975" s="31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>
      <c r="A976" s="30"/>
      <c r="B976" s="30"/>
      <c r="C976" s="31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>
      <c r="A977" s="30"/>
      <c r="B977" s="30"/>
      <c r="C977" s="31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>
      <c r="A978" s="30"/>
      <c r="B978" s="30"/>
      <c r="C978" s="31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>
      <c r="A979" s="30"/>
      <c r="B979" s="30"/>
      <c r="C979" s="31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>
      <c r="A980" s="30"/>
      <c r="B980" s="30"/>
      <c r="C980" s="31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>
      <c r="A981" s="30"/>
      <c r="B981" s="30"/>
      <c r="C981" s="31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>
      <c r="A982" s="30"/>
      <c r="B982" s="30"/>
      <c r="C982" s="31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>
      <c r="A983" s="30"/>
      <c r="B983" s="30"/>
      <c r="C983" s="31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>
      <c r="A984" s="30"/>
      <c r="B984" s="30"/>
      <c r="C984" s="31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>
      <c r="A985" s="30"/>
      <c r="B985" s="30"/>
      <c r="C985" s="31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>
      <c r="A986" s="30"/>
      <c r="B986" s="30"/>
      <c r="C986" s="31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>
      <c r="A987" s="30"/>
      <c r="B987" s="30"/>
      <c r="C987" s="31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>
      <c r="A988" s="30"/>
      <c r="B988" s="30"/>
      <c r="C988" s="31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>
      <c r="A989" s="30"/>
      <c r="B989" s="30"/>
      <c r="C989" s="31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>
      <c r="A990" s="30"/>
      <c r="B990" s="30"/>
      <c r="C990" s="31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>
      <c r="A991" s="30"/>
      <c r="B991" s="30"/>
      <c r="C991" s="31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>
      <c r="A992" s="30"/>
      <c r="B992" s="30"/>
      <c r="C992" s="31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>
      <c r="A993" s="30"/>
      <c r="B993" s="30"/>
      <c r="C993" s="31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>
      <c r="A994" s="30"/>
      <c r="B994" s="30"/>
      <c r="C994" s="31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>
      <c r="A995" s="30"/>
      <c r="B995" s="30"/>
      <c r="C995" s="31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>
      <c r="A996" s="30"/>
      <c r="B996" s="30"/>
      <c r="C996" s="31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>
      <c r="A997" s="30"/>
      <c r="B997" s="30"/>
      <c r="C997" s="31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>
      <c r="A998" s="30"/>
      <c r="B998" s="30"/>
      <c r="C998" s="31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>
      <c r="A999" s="30"/>
      <c r="B999" s="30"/>
      <c r="C999" s="31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>
      <c r="A1000" s="30"/>
      <c r="B1000" s="30"/>
      <c r="C1000" s="31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autoFilter ref="$A$1:$Z$74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/>
  <cols>
    <col customWidth="1" min="1" max="1" width="18.13"/>
    <col customWidth="1" min="2" max="3" width="10.88"/>
    <col customWidth="1" min="4" max="4" width="13.63"/>
    <col customWidth="1" min="5" max="5" width="7.25"/>
    <col customWidth="1" min="6" max="6" width="9.13"/>
    <col customWidth="1" min="7" max="7" width="10.88"/>
    <col customWidth="1" min="8" max="8" width="9.13"/>
    <col customWidth="1" min="9" max="9" width="7.25"/>
    <col customWidth="1" min="10" max="10" width="9.13"/>
    <col customWidth="1" min="11" max="12" width="10.88"/>
    <col customWidth="1" min="13" max="13" width="7.25"/>
    <col customWidth="1" min="14" max="15" width="9.13"/>
    <col customWidth="1" min="16" max="16" width="10.88"/>
    <col customWidth="1" min="17" max="17" width="7.25"/>
    <col customWidth="1" min="18" max="18" width="9.13"/>
    <col customWidth="1" min="19" max="19" width="5.5"/>
    <col customWidth="1" min="20" max="20" width="10.88"/>
    <col customWidth="1" min="21" max="21" width="7.25"/>
    <col customWidth="1" min="22" max="22" width="9.13"/>
    <col customWidth="1" min="23" max="24" width="5.5"/>
    <col customWidth="1" min="25" max="25" width="7.25"/>
    <col customWidth="1" min="26" max="26" width="9.13"/>
    <col customWidth="1" min="27" max="28" width="5.5"/>
    <col customWidth="1" min="29" max="29" width="7.25"/>
    <col customWidth="1" min="30" max="30" width="9.13"/>
    <col customWidth="1" min="31" max="32" width="5.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5.75" customHeight="1">
      <c r="A2" s="1">
        <v>5000.0</v>
      </c>
      <c r="B2" s="7">
        <v>274.0</v>
      </c>
      <c r="C2" s="7">
        <v>205000.0</v>
      </c>
      <c r="D2" s="9">
        <v>30.0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ht="54.75" customHeight="1">
      <c r="A5" s="3" t="s">
        <v>1</v>
      </c>
      <c r="B5" s="3" t="s">
        <v>7</v>
      </c>
      <c r="C5" s="4" t="s">
        <v>10</v>
      </c>
      <c r="D5" s="3" t="s">
        <v>12</v>
      </c>
      <c r="E5" s="13" t="s">
        <v>53</v>
      </c>
      <c r="F5" s="3" t="s">
        <v>56</v>
      </c>
      <c r="G5" s="4" t="s">
        <v>57</v>
      </c>
      <c r="H5" s="4" t="s">
        <v>58</v>
      </c>
      <c r="I5" s="13" t="s">
        <v>59</v>
      </c>
      <c r="J5" s="3" t="s">
        <v>60</v>
      </c>
      <c r="K5" s="4" t="s">
        <v>61</v>
      </c>
      <c r="L5" s="4" t="s">
        <v>62</v>
      </c>
      <c r="M5" s="13" t="s">
        <v>63</v>
      </c>
      <c r="N5" s="3" t="s">
        <v>64</v>
      </c>
      <c r="O5" s="4" t="s">
        <v>65</v>
      </c>
      <c r="P5" s="4" t="s">
        <v>66</v>
      </c>
      <c r="Q5" s="13" t="s">
        <v>67</v>
      </c>
      <c r="R5" s="3" t="s">
        <v>69</v>
      </c>
      <c r="S5" s="4" t="s">
        <v>71</v>
      </c>
      <c r="T5" s="4" t="s">
        <v>72</v>
      </c>
      <c r="U5" s="13" t="s">
        <v>73</v>
      </c>
      <c r="V5" s="3" t="s">
        <v>74</v>
      </c>
      <c r="W5" s="4" t="s">
        <v>75</v>
      </c>
      <c r="X5" s="4" t="s">
        <v>76</v>
      </c>
      <c r="Y5" s="13" t="s">
        <v>77</v>
      </c>
      <c r="Z5" s="3" t="s">
        <v>78</v>
      </c>
      <c r="AA5" s="4" t="s">
        <v>79</v>
      </c>
      <c r="AB5" s="4" t="s">
        <v>80</v>
      </c>
      <c r="AC5" s="13" t="s">
        <v>81</v>
      </c>
      <c r="AD5" s="3" t="s">
        <v>82</v>
      </c>
      <c r="AE5" s="4" t="s">
        <v>84</v>
      </c>
      <c r="AF5" s="4" t="s">
        <v>86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ht="32.25" customHeight="1">
      <c r="A6" s="1" t="s">
        <v>47</v>
      </c>
      <c r="B6" s="1" t="s">
        <v>48</v>
      </c>
      <c r="C6" s="10" t="s">
        <v>49</v>
      </c>
      <c r="D6" s="10" t="s">
        <v>50</v>
      </c>
      <c r="E6" s="13">
        <f t="array" ref="E6">IFERROR(INDEX(contadores!$H:$H,MATCH($D6,contadores!$D:$D,0)),"")</f>
        <v>8212</v>
      </c>
      <c r="F6" s="15">
        <f t="shared" ref="F6:F14" si="1">IF(E6="","",IF($B6="B/N",IF((E6-$A$2)&lt;0,0,E6-$A$2),0))</f>
        <v>3212</v>
      </c>
      <c r="G6" s="19">
        <f t="shared" ref="G6:G14" si="2">IF(F6="","",IF(F6&gt;0,IF($B6="B/N",(F6*$D$2),F6*$B$2),0))</f>
        <v>96360</v>
      </c>
      <c r="H6" s="15">
        <f t="shared" ref="H6:H14" si="3">IF(E6="","",IF(B6="Color",E6*$B$2,0))</f>
        <v>0</v>
      </c>
      <c r="I6" s="13">
        <f t="array" ref="I6">IFERROR(INDEX(contadores!$J:$J,MATCH($D6,contadores!$D:$D,0)),"")</f>
        <v>5885</v>
      </c>
      <c r="J6" s="15">
        <f t="shared" ref="J6:J14" si="4">IF(I6="","",IF($B6="B/N",IF((I6-$A$2)&lt;0,0,I6-$A$2),0))</f>
        <v>885</v>
      </c>
      <c r="K6" s="19">
        <f t="shared" ref="K6:K14" si="5">IF(J6="","",IF(J6&gt;0,IF($B6="B/N",(J6*$D$2),J6*$B$2),0))</f>
        <v>26550</v>
      </c>
      <c r="L6" s="15">
        <f t="shared" ref="L6:L14" si="6">IF(I6="","",IF(B6="Color",I6*$B$2,0))</f>
        <v>0</v>
      </c>
      <c r="M6" s="13">
        <f t="array" ref="M6">IFERROR(INDEX(contadores!$L:$L,MATCH($D6,contadores!$D:$D,0)),"")</f>
        <v>5381</v>
      </c>
      <c r="N6" s="15">
        <f t="shared" ref="N6:N14" si="7">IF(M6="","",IF($B6="B/N",IF((M6-$A$2)&lt;0,0,M6-$A$2),0))</f>
        <v>381</v>
      </c>
      <c r="O6" s="19">
        <f t="shared" ref="O6:O14" si="8">IF(N6="","",IF(N6&gt;0,IF($B6="B/N",(N6*$D$2),N6*$B$2),0))</f>
        <v>11430</v>
      </c>
      <c r="P6" s="15">
        <f t="shared" ref="P6:P14" si="9">IF(M6="","",IF(B6="Color",M6*$B$2,0))</f>
        <v>0</v>
      </c>
      <c r="Q6" s="13" t="str">
        <f t="array" ref="Q6">IFERROR(INDEX(contadores!$N:$N,MATCH($D6,contadores!$D:$D,0)),"")</f>
        <v/>
      </c>
      <c r="R6" s="15" t="str">
        <f t="shared" ref="R6:R14" si="10">IF(Q6="","",IF($B6="B/N",IF((Q6-$A$2)&lt;0,0,Q6-$A$2),0))</f>
        <v/>
      </c>
      <c r="S6" s="15" t="str">
        <f t="shared" ref="S6:S14" si="11">IF(R6="","",IF(R6&gt;0,IF($B6="B/N",(R6*$D$2),R6*$B$2),0))</f>
        <v/>
      </c>
      <c r="T6" s="15" t="str">
        <f t="shared" ref="T6:T14" si="12">IF(Q6="","",IF(B6="Color",Q6*$B$2,0))</f>
        <v/>
      </c>
      <c r="U6" s="13" t="str">
        <f t="array" ref="U6">IFERROR(INDEX(contadores!$P:$P,MATCH($D6,contadores!$D:$D,0)),"")</f>
        <v/>
      </c>
      <c r="V6" s="15" t="str">
        <f t="shared" ref="V6:V14" si="13">IF(U6="","",IF($B6="B/N",IF((U6-$A$2)&lt;0,0,U6-$A$2),0))</f>
        <v/>
      </c>
      <c r="W6" s="15" t="str">
        <f t="shared" ref="W6:W14" si="14">IF(V6="","",IF(V6&gt;0,IF($B6="B/N",(V6*$D$2),V6*$B$2),0))</f>
        <v/>
      </c>
      <c r="X6" s="15" t="str">
        <f t="shared" ref="X6:X14" si="15">IF(U6="","",IF(B6="Color",U6*$B$2,0))</f>
        <v/>
      </c>
      <c r="Y6" s="13" t="str">
        <f t="array" ref="Y6">IFERROR(INDEX(contadores!$R:$R,MATCH($D6,contadores!$D:$D,0)),"")</f>
        <v/>
      </c>
      <c r="Z6" s="15" t="str">
        <f t="shared" ref="Z6:Z14" si="16">IF(Y6="","",IF($B6="B/N",IF((Y6-$A$2)&lt;0,0,Y6-$A$2),0))</f>
        <v/>
      </c>
      <c r="AA6" s="15" t="str">
        <f t="shared" ref="AA6:AA14" si="17">IF(Z6="","",IF(Z6&gt;0,IF($B6="B/N",(Z6*$D$2),Z6*$B$2),0))</f>
        <v/>
      </c>
      <c r="AB6" s="15" t="str">
        <f t="shared" ref="AB6:AB14" si="18">IF(Y6="","",IF(B6="Color",Y6*$B$2,0))</f>
        <v/>
      </c>
      <c r="AC6" s="13" t="str">
        <f t="array" ref="AC6">IFERROR(INDEX(contadores!$T:$T,MATCH($D6,contadores!$D:$D,0)),"")</f>
        <v/>
      </c>
      <c r="AD6" s="15" t="str">
        <f t="shared" ref="AD6:AD14" si="19">IF(AC6="","",IF($B6="B/N",IF((AC6-$A$2)&lt;0,0,AC6-$A$2),0))</f>
        <v/>
      </c>
      <c r="AE6" s="15" t="str">
        <f t="shared" ref="AE6:AE14" si="20">IF(AD6="","",IF(AD6&gt;0,IF($B6="B/N",(AD6*$D$2),AD6*$B$2),0))</f>
        <v/>
      </c>
      <c r="AF6" s="15" t="str">
        <f t="shared" ref="AF6:AF14" si="21">IF(AC6="","",IF(B6="Color",AC6*$B$2,0))</f>
        <v/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ht="21.75" customHeight="1">
      <c r="A7" s="1" t="s">
        <v>104</v>
      </c>
      <c r="B7" s="1" t="s">
        <v>48</v>
      </c>
      <c r="C7" s="10" t="s">
        <v>106</v>
      </c>
      <c r="D7" s="18" t="s">
        <v>108</v>
      </c>
      <c r="E7" s="13">
        <f t="array" ref="E7">IFERROR(INDEX(contadores!$H:$H,MATCH($D7,contadores!$D:$D,0)),"")</f>
        <v>8545</v>
      </c>
      <c r="F7" s="15">
        <f t="shared" si="1"/>
        <v>3545</v>
      </c>
      <c r="G7" s="19">
        <f t="shared" si="2"/>
        <v>106350</v>
      </c>
      <c r="H7" s="15">
        <f t="shared" si="3"/>
        <v>0</v>
      </c>
      <c r="I7" s="13">
        <f t="array" ref="I7">IFERROR(INDEX(contadores!$J:$J,MATCH($D7,contadores!$D:$D,0)),"")</f>
        <v>5895</v>
      </c>
      <c r="J7" s="15">
        <f t="shared" si="4"/>
        <v>895</v>
      </c>
      <c r="K7" s="19">
        <f t="shared" si="5"/>
        <v>26850</v>
      </c>
      <c r="L7" s="15">
        <f t="shared" si="6"/>
        <v>0</v>
      </c>
      <c r="M7" s="13">
        <f t="array" ref="M7">IFERROR(INDEX(contadores!$L:$L,MATCH($D7,contadores!$D:$D,0)),"")</f>
        <v>5747</v>
      </c>
      <c r="N7" s="15">
        <f t="shared" si="7"/>
        <v>747</v>
      </c>
      <c r="O7" s="19">
        <f t="shared" si="8"/>
        <v>22410</v>
      </c>
      <c r="P7" s="15">
        <f t="shared" si="9"/>
        <v>0</v>
      </c>
      <c r="Q7" s="13" t="str">
        <f t="array" ref="Q7">IFERROR(INDEX(contadores!$N:$N,MATCH($D7,contadores!$D:$D,0)),"")</f>
        <v/>
      </c>
      <c r="R7" s="15" t="str">
        <f t="shared" si="10"/>
        <v/>
      </c>
      <c r="S7" s="15" t="str">
        <f t="shared" si="11"/>
        <v/>
      </c>
      <c r="T7" s="15" t="str">
        <f t="shared" si="12"/>
        <v/>
      </c>
      <c r="U7" s="13" t="str">
        <f t="array" ref="U7">IFERROR(INDEX(contadores!$P:$P,MATCH($D7,contadores!$D:$D,0)),"")</f>
        <v/>
      </c>
      <c r="V7" s="15" t="str">
        <f t="shared" si="13"/>
        <v/>
      </c>
      <c r="W7" s="15" t="str">
        <f t="shared" si="14"/>
        <v/>
      </c>
      <c r="X7" s="15" t="str">
        <f t="shared" si="15"/>
        <v/>
      </c>
      <c r="Y7" s="13" t="str">
        <f t="array" ref="Y7">IFERROR(INDEX(contadores!$R:$R,MATCH($D7,contadores!$D:$D,0)),"")</f>
        <v/>
      </c>
      <c r="Z7" s="15" t="str">
        <f t="shared" si="16"/>
        <v/>
      </c>
      <c r="AA7" s="15" t="str">
        <f t="shared" si="17"/>
        <v/>
      </c>
      <c r="AB7" s="15" t="str">
        <f t="shared" si="18"/>
        <v/>
      </c>
      <c r="AC7" s="13" t="str">
        <f t="array" ref="AC7">IFERROR(INDEX(contadores!$T:$T,MATCH($D7,contadores!$D:$D,0)),"")</f>
        <v/>
      </c>
      <c r="AD7" s="15" t="str">
        <f t="shared" si="19"/>
        <v/>
      </c>
      <c r="AE7" s="15" t="str">
        <f t="shared" si="20"/>
        <v/>
      </c>
      <c r="AF7" s="15" t="str">
        <f t="shared" si="21"/>
        <v/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ht="21.75" customHeight="1">
      <c r="A8" s="1" t="s">
        <v>115</v>
      </c>
      <c r="B8" s="1" t="s">
        <v>48</v>
      </c>
      <c r="C8" s="10" t="s">
        <v>116</v>
      </c>
      <c r="D8" s="10" t="s">
        <v>117</v>
      </c>
      <c r="E8" s="13">
        <f t="array" ref="E8">IFERROR(INDEX(contadores!$H:$H,MATCH($D8,contadores!$D:$D,0)),"")</f>
        <v>4617</v>
      </c>
      <c r="F8" s="15">
        <f t="shared" si="1"/>
        <v>0</v>
      </c>
      <c r="G8" s="15">
        <f t="shared" si="2"/>
        <v>0</v>
      </c>
      <c r="H8" s="15">
        <f t="shared" si="3"/>
        <v>0</v>
      </c>
      <c r="I8" s="13">
        <f t="array" ref="I8">IFERROR(INDEX(contadores!$J:$J,MATCH($D8,contadores!$D:$D,0)),"")</f>
        <v>6023</v>
      </c>
      <c r="J8" s="15">
        <f t="shared" si="4"/>
        <v>1023</v>
      </c>
      <c r="K8" s="19">
        <f t="shared" si="5"/>
        <v>30690</v>
      </c>
      <c r="L8" s="15">
        <f t="shared" si="6"/>
        <v>0</v>
      </c>
      <c r="M8" s="13">
        <f t="array" ref="M8">IFERROR(INDEX(contadores!$L:$L,MATCH($D8,contadores!$D:$D,0)),"")</f>
        <v>4657</v>
      </c>
      <c r="N8" s="15">
        <f t="shared" si="7"/>
        <v>0</v>
      </c>
      <c r="O8" s="15">
        <f t="shared" si="8"/>
        <v>0</v>
      </c>
      <c r="P8" s="15">
        <f t="shared" si="9"/>
        <v>0</v>
      </c>
      <c r="Q8" s="13" t="str">
        <f t="array" ref="Q8">IFERROR(INDEX(contadores!$N:$N,MATCH($D8,contadores!$D:$D,0)),"")</f>
        <v/>
      </c>
      <c r="R8" s="15" t="str">
        <f t="shared" si="10"/>
        <v/>
      </c>
      <c r="S8" s="15" t="str">
        <f t="shared" si="11"/>
        <v/>
      </c>
      <c r="T8" s="15" t="str">
        <f t="shared" si="12"/>
        <v/>
      </c>
      <c r="U8" s="13" t="str">
        <f t="array" ref="U8">IFERROR(INDEX(contadores!$P:$P,MATCH($D8,contadores!$D:$D,0)),"")</f>
        <v/>
      </c>
      <c r="V8" s="15" t="str">
        <f t="shared" si="13"/>
        <v/>
      </c>
      <c r="W8" s="15" t="str">
        <f t="shared" si="14"/>
        <v/>
      </c>
      <c r="X8" s="15" t="str">
        <f t="shared" si="15"/>
        <v/>
      </c>
      <c r="Y8" s="13" t="str">
        <f t="array" ref="Y8">IFERROR(INDEX(contadores!$R:$R,MATCH($D8,contadores!$D:$D,0)),"")</f>
        <v/>
      </c>
      <c r="Z8" s="15" t="str">
        <f t="shared" si="16"/>
        <v/>
      </c>
      <c r="AA8" s="15" t="str">
        <f t="shared" si="17"/>
        <v/>
      </c>
      <c r="AB8" s="15" t="str">
        <f t="shared" si="18"/>
        <v/>
      </c>
      <c r="AC8" s="13" t="str">
        <f t="array" ref="AC8">IFERROR(INDEX(contadores!$T:$T,MATCH($D8,contadores!$D:$D,0)),"")</f>
        <v/>
      </c>
      <c r="AD8" s="15" t="str">
        <f t="shared" si="19"/>
        <v/>
      </c>
      <c r="AE8" s="15" t="str">
        <f t="shared" si="20"/>
        <v/>
      </c>
      <c r="AF8" s="15" t="str">
        <f t="shared" si="21"/>
        <v/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ht="21.75" customHeight="1">
      <c r="A9" s="20" t="s">
        <v>124</v>
      </c>
      <c r="B9" s="20" t="s">
        <v>48</v>
      </c>
      <c r="C9" s="21" t="s">
        <v>127</v>
      </c>
      <c r="D9" s="21" t="s">
        <v>128</v>
      </c>
      <c r="E9" s="13">
        <f t="array" ref="E9">IFERROR(INDEX(contadores!$H:$H,MATCH($D9,contadores!$D:$D,0)),"")</f>
        <v>1674</v>
      </c>
      <c r="F9" s="15">
        <f t="shared" si="1"/>
        <v>0</v>
      </c>
      <c r="G9" s="15">
        <f t="shared" si="2"/>
        <v>0</v>
      </c>
      <c r="H9" s="15">
        <f t="shared" si="3"/>
        <v>0</v>
      </c>
      <c r="I9" s="13">
        <f t="array" ref="I9">IFERROR(INDEX(contadores!$J:$J,MATCH($D9,contadores!$D:$D,0)),"")</f>
        <v>1897</v>
      </c>
      <c r="J9" s="15">
        <f t="shared" si="4"/>
        <v>0</v>
      </c>
      <c r="K9" s="15">
        <f t="shared" si="5"/>
        <v>0</v>
      </c>
      <c r="L9" s="15">
        <f t="shared" si="6"/>
        <v>0</v>
      </c>
      <c r="M9" s="13">
        <f t="array" ref="M9">IFERROR(INDEX(contadores!$L:$L,MATCH($D9,contadores!$D:$D,0)),"")</f>
        <v>327</v>
      </c>
      <c r="N9" s="15">
        <f t="shared" si="7"/>
        <v>0</v>
      </c>
      <c r="O9" s="15">
        <f t="shared" si="8"/>
        <v>0</v>
      </c>
      <c r="P9" s="15">
        <f t="shared" si="9"/>
        <v>0</v>
      </c>
      <c r="Q9" s="13" t="str">
        <f t="array" ref="Q9">IFERROR(INDEX(contadores!$N:$N,MATCH($D9,contadores!$D:$D,0)),"")</f>
        <v/>
      </c>
      <c r="R9" s="15" t="str">
        <f t="shared" si="10"/>
        <v/>
      </c>
      <c r="S9" s="15" t="str">
        <f t="shared" si="11"/>
        <v/>
      </c>
      <c r="T9" s="15" t="str">
        <f t="shared" si="12"/>
        <v/>
      </c>
      <c r="U9" s="13" t="str">
        <f t="array" ref="U9">IFERROR(INDEX(contadores!$P:$P,MATCH($D9,contadores!$D:$D,0)),"")</f>
        <v/>
      </c>
      <c r="V9" s="15" t="str">
        <f t="shared" si="13"/>
        <v/>
      </c>
      <c r="W9" s="15" t="str">
        <f t="shared" si="14"/>
        <v/>
      </c>
      <c r="X9" s="15" t="str">
        <f t="shared" si="15"/>
        <v/>
      </c>
      <c r="Y9" s="13" t="str">
        <f t="array" ref="Y9">IFERROR(INDEX(contadores!$R:$R,MATCH($D9,contadores!$D:$D,0)),"")</f>
        <v/>
      </c>
      <c r="Z9" s="15" t="str">
        <f t="shared" si="16"/>
        <v/>
      </c>
      <c r="AA9" s="15" t="str">
        <f t="shared" si="17"/>
        <v/>
      </c>
      <c r="AB9" s="15" t="str">
        <f t="shared" si="18"/>
        <v/>
      </c>
      <c r="AC9" s="13" t="str">
        <f t="array" ref="AC9">IFERROR(INDEX(contadores!$T:$T,MATCH($D9,contadores!$D:$D,0)),"")</f>
        <v/>
      </c>
      <c r="AD9" s="15" t="str">
        <f t="shared" si="19"/>
        <v/>
      </c>
      <c r="AE9" s="15" t="str">
        <f t="shared" si="20"/>
        <v/>
      </c>
      <c r="AF9" s="15" t="str">
        <f t="shared" si="21"/>
        <v/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ht="21.75" customHeight="1">
      <c r="A10" s="20" t="s">
        <v>124</v>
      </c>
      <c r="B10" s="20" t="s">
        <v>134</v>
      </c>
      <c r="C10" s="21" t="s">
        <v>127</v>
      </c>
      <c r="D10" s="21" t="s">
        <v>135</v>
      </c>
      <c r="E10" s="13">
        <f t="array" ref="E10">IFERROR(INDEX(contadores!$H:$H,MATCH($D10,contadores!$D:$D,0)),"")</f>
        <v>557</v>
      </c>
      <c r="F10" s="15">
        <f t="shared" si="1"/>
        <v>0</v>
      </c>
      <c r="G10" s="15">
        <f t="shared" si="2"/>
        <v>0</v>
      </c>
      <c r="H10" s="29">
        <f t="shared" si="3"/>
        <v>152618</v>
      </c>
      <c r="I10" s="13">
        <f t="array" ref="I10">IFERROR(INDEX(contadores!$J:$J,MATCH($D10,contadores!$D:$D,0)),"")</f>
        <v>201</v>
      </c>
      <c r="J10" s="15">
        <f t="shared" si="4"/>
        <v>0</v>
      </c>
      <c r="K10" s="15">
        <f t="shared" si="5"/>
        <v>0</v>
      </c>
      <c r="L10" s="29">
        <f t="shared" si="6"/>
        <v>55074</v>
      </c>
      <c r="M10" s="13">
        <f t="array" ref="M10">IFERROR(INDEX(contadores!$L:$L,MATCH($D10,contadores!$D:$D,0)),"")</f>
        <v>13446</v>
      </c>
      <c r="N10" s="15">
        <f t="shared" si="7"/>
        <v>0</v>
      </c>
      <c r="O10" s="19">
        <f t="shared" si="8"/>
        <v>0</v>
      </c>
      <c r="P10" s="29">
        <f t="shared" si="9"/>
        <v>3684204</v>
      </c>
      <c r="Q10" s="13" t="str">
        <f t="array" ref="Q10">IFERROR(INDEX(contadores!$N:$N,MATCH($D10,contadores!$D:$D,0)),"")</f>
        <v/>
      </c>
      <c r="R10" s="15" t="str">
        <f t="shared" si="10"/>
        <v/>
      </c>
      <c r="S10" s="15" t="str">
        <f t="shared" si="11"/>
        <v/>
      </c>
      <c r="T10" s="29" t="str">
        <f t="shared" si="12"/>
        <v/>
      </c>
      <c r="U10" s="13" t="str">
        <f t="array" ref="U10">IFERROR(INDEX(contadores!$P:$P,MATCH($D10,contadores!$D:$D,0)),"")</f>
        <v/>
      </c>
      <c r="V10" s="15" t="str">
        <f t="shared" si="13"/>
        <v/>
      </c>
      <c r="W10" s="15" t="str">
        <f t="shared" si="14"/>
        <v/>
      </c>
      <c r="X10" s="29" t="str">
        <f t="shared" si="15"/>
        <v/>
      </c>
      <c r="Y10" s="13" t="str">
        <f t="array" ref="Y10">IFERROR(INDEX(contadores!$R:$R,MATCH($D10,contadores!$D:$D,0)),"")</f>
        <v/>
      </c>
      <c r="Z10" s="15" t="str">
        <f t="shared" si="16"/>
        <v/>
      </c>
      <c r="AA10" s="15" t="str">
        <f t="shared" si="17"/>
        <v/>
      </c>
      <c r="AB10" s="29" t="str">
        <f t="shared" si="18"/>
        <v/>
      </c>
      <c r="AC10" s="13" t="str">
        <f t="array" ref="AC10">IFERROR(INDEX(contadores!$T:$T,MATCH($D10,contadores!$D:$D,0)),"")</f>
        <v/>
      </c>
      <c r="AD10" s="15" t="str">
        <f t="shared" si="19"/>
        <v/>
      </c>
      <c r="AE10" s="15" t="str">
        <f t="shared" si="20"/>
        <v/>
      </c>
      <c r="AF10" s="29" t="str">
        <f t="shared" si="21"/>
        <v/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ht="32.25" customHeight="1">
      <c r="A11" s="22" t="s">
        <v>124</v>
      </c>
      <c r="B11" s="22" t="s">
        <v>48</v>
      </c>
      <c r="C11" s="23" t="s">
        <v>142</v>
      </c>
      <c r="D11" s="23" t="s">
        <v>143</v>
      </c>
      <c r="E11" s="13">
        <f t="array" ref="E11">IFERROR(INDEX(contadores!$H:$H,MATCH($D11,contadores!$D:$D,0)),"")</f>
        <v>5380</v>
      </c>
      <c r="F11" s="15">
        <f t="shared" si="1"/>
        <v>380</v>
      </c>
      <c r="G11" s="19">
        <f t="shared" si="2"/>
        <v>11400</v>
      </c>
      <c r="H11" s="15">
        <f t="shared" si="3"/>
        <v>0</v>
      </c>
      <c r="I11" s="13">
        <f t="array" ref="I11">IFERROR(INDEX(contadores!$J:$J,MATCH($D11,contadores!$D:$D,0)),"")</f>
        <v>11583</v>
      </c>
      <c r="J11" s="15">
        <f t="shared" si="4"/>
        <v>6583</v>
      </c>
      <c r="K11" s="19">
        <f t="shared" si="5"/>
        <v>197490</v>
      </c>
      <c r="L11" s="15">
        <f t="shared" si="6"/>
        <v>0</v>
      </c>
      <c r="M11" s="13">
        <f t="array" ref="M11">IFERROR(INDEX(contadores!$L:$L,MATCH($D11,contadores!$D:$D,0)),"")</f>
        <v>7295</v>
      </c>
      <c r="N11" s="15">
        <f t="shared" si="7"/>
        <v>2295</v>
      </c>
      <c r="O11" s="19">
        <f t="shared" si="8"/>
        <v>68850</v>
      </c>
      <c r="P11" s="15">
        <f t="shared" si="9"/>
        <v>0</v>
      </c>
      <c r="Q11" s="13" t="str">
        <f t="array" ref="Q11">IFERROR(INDEX(contadores!$N:$N,MATCH($D11,contadores!$D:$D,0)),"")</f>
        <v/>
      </c>
      <c r="R11" s="15" t="str">
        <f t="shared" si="10"/>
        <v/>
      </c>
      <c r="S11" s="15" t="str">
        <f t="shared" si="11"/>
        <v/>
      </c>
      <c r="T11" s="15" t="str">
        <f t="shared" si="12"/>
        <v/>
      </c>
      <c r="U11" s="13" t="str">
        <f t="array" ref="U11">IFERROR(INDEX(contadores!$P:$P,MATCH($D11,contadores!$D:$D,0)),"")</f>
        <v/>
      </c>
      <c r="V11" s="15" t="str">
        <f t="shared" si="13"/>
        <v/>
      </c>
      <c r="W11" s="15" t="str">
        <f t="shared" si="14"/>
        <v/>
      </c>
      <c r="X11" s="15" t="str">
        <f t="shared" si="15"/>
        <v/>
      </c>
      <c r="Y11" s="13" t="str">
        <f t="array" ref="Y11">IFERROR(INDEX(contadores!$R:$R,MATCH($D11,contadores!$D:$D,0)),"")</f>
        <v/>
      </c>
      <c r="Z11" s="15" t="str">
        <f t="shared" si="16"/>
        <v/>
      </c>
      <c r="AA11" s="15" t="str">
        <f t="shared" si="17"/>
        <v/>
      </c>
      <c r="AB11" s="15" t="str">
        <f t="shared" si="18"/>
        <v/>
      </c>
      <c r="AC11" s="13" t="str">
        <f t="array" ref="AC11">IFERROR(INDEX(contadores!$T:$T,MATCH($D11,contadores!$D:$D,0)),"")</f>
        <v/>
      </c>
      <c r="AD11" s="15" t="str">
        <f t="shared" si="19"/>
        <v/>
      </c>
      <c r="AE11" s="15" t="str">
        <f t="shared" si="20"/>
        <v/>
      </c>
      <c r="AF11" s="15" t="str">
        <f t="shared" si="21"/>
        <v/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ht="32.25" customHeight="1">
      <c r="A12" s="22" t="s">
        <v>124</v>
      </c>
      <c r="B12" s="22" t="s">
        <v>134</v>
      </c>
      <c r="C12" s="23" t="s">
        <v>142</v>
      </c>
      <c r="D12" s="23" t="s">
        <v>148</v>
      </c>
      <c r="E12" s="13">
        <f t="array" ref="E12">IFERROR(INDEX(contadores!$H:$H,MATCH($D12,contadores!$D:$D,0)),"")</f>
        <v>478</v>
      </c>
      <c r="F12" s="15">
        <f t="shared" si="1"/>
        <v>0</v>
      </c>
      <c r="G12" s="15">
        <f t="shared" si="2"/>
        <v>0</v>
      </c>
      <c r="H12" s="29">
        <f t="shared" si="3"/>
        <v>130972</v>
      </c>
      <c r="I12" s="13">
        <f t="array" ref="I12">IFERROR(INDEX(contadores!$J:$J,MATCH($D12,contadores!$D:$D,0)),"")</f>
        <v>4420</v>
      </c>
      <c r="J12" s="15">
        <f t="shared" si="4"/>
        <v>0</v>
      </c>
      <c r="K12" s="15">
        <f t="shared" si="5"/>
        <v>0</v>
      </c>
      <c r="L12" s="29">
        <f t="shared" si="6"/>
        <v>1211080</v>
      </c>
      <c r="M12" s="13">
        <f t="array" ref="M12">IFERROR(INDEX(contadores!$L:$L,MATCH($D12,contadores!$D:$D,0)),"")</f>
        <v>2202</v>
      </c>
      <c r="N12" s="15">
        <f t="shared" si="7"/>
        <v>0</v>
      </c>
      <c r="O12" s="15">
        <f t="shared" si="8"/>
        <v>0</v>
      </c>
      <c r="P12" s="29">
        <f t="shared" si="9"/>
        <v>603348</v>
      </c>
      <c r="Q12" s="13" t="str">
        <f t="array" ref="Q12">IFERROR(INDEX(contadores!$N:$N,MATCH($D12,contadores!$D:$D,0)),"")</f>
        <v/>
      </c>
      <c r="R12" s="15" t="str">
        <f t="shared" si="10"/>
        <v/>
      </c>
      <c r="S12" s="15" t="str">
        <f t="shared" si="11"/>
        <v/>
      </c>
      <c r="T12" s="29" t="str">
        <f t="shared" si="12"/>
        <v/>
      </c>
      <c r="U12" s="13" t="str">
        <f t="array" ref="U12">IFERROR(INDEX(contadores!$P:$P,MATCH($D12,contadores!$D:$D,0)),"")</f>
        <v/>
      </c>
      <c r="V12" s="15" t="str">
        <f t="shared" si="13"/>
        <v/>
      </c>
      <c r="W12" s="15" t="str">
        <f t="shared" si="14"/>
        <v/>
      </c>
      <c r="X12" s="29" t="str">
        <f t="shared" si="15"/>
        <v/>
      </c>
      <c r="Y12" s="13" t="str">
        <f t="array" ref="Y12">IFERROR(INDEX(contadores!$R:$R,MATCH($D12,contadores!$D:$D,0)),"")</f>
        <v/>
      </c>
      <c r="Z12" s="15" t="str">
        <f t="shared" si="16"/>
        <v/>
      </c>
      <c r="AA12" s="15" t="str">
        <f t="shared" si="17"/>
        <v/>
      </c>
      <c r="AB12" s="29" t="str">
        <f t="shared" si="18"/>
        <v/>
      </c>
      <c r="AC12" s="13" t="str">
        <f t="array" ref="AC12">IFERROR(INDEX(contadores!$T:$T,MATCH($D12,contadores!$D:$D,0)),"")</f>
        <v/>
      </c>
      <c r="AD12" s="15" t="str">
        <f t="shared" si="19"/>
        <v/>
      </c>
      <c r="AE12" s="15" t="str">
        <f t="shared" si="20"/>
        <v/>
      </c>
      <c r="AF12" s="29" t="str">
        <f t="shared" si="21"/>
        <v/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ht="21.75" customHeight="1">
      <c r="A13" s="26" t="s">
        <v>152</v>
      </c>
      <c r="B13" s="26" t="s">
        <v>48</v>
      </c>
      <c r="C13" s="27" t="s">
        <v>155</v>
      </c>
      <c r="D13" s="27" t="s">
        <v>28</v>
      </c>
      <c r="E13" s="13">
        <f t="array" ref="E13">IFERROR(INDEX(contadores!$H:$H,MATCH($D13,contadores!$D:$D,0)),"")</f>
        <v>108</v>
      </c>
      <c r="F13" s="15">
        <f t="shared" si="1"/>
        <v>0</v>
      </c>
      <c r="G13" s="15">
        <f t="shared" si="2"/>
        <v>0</v>
      </c>
      <c r="H13" s="15">
        <f t="shared" si="3"/>
        <v>0</v>
      </c>
      <c r="I13" s="13">
        <f t="array" ref="I13">IFERROR(INDEX(contadores!$J:$J,MATCH($D13,contadores!$D:$D,0)),"")</f>
        <v>1407</v>
      </c>
      <c r="J13" s="15">
        <f t="shared" si="4"/>
        <v>0</v>
      </c>
      <c r="K13" s="15">
        <f t="shared" si="5"/>
        <v>0</v>
      </c>
      <c r="L13" s="15">
        <f t="shared" si="6"/>
        <v>0</v>
      </c>
      <c r="M13" s="13">
        <f t="array" ref="M13">IFERROR(INDEX(contadores!$L:$L,MATCH($D13,contadores!$D:$D,0)),"")</f>
        <v>174</v>
      </c>
      <c r="N13" s="15">
        <f t="shared" si="7"/>
        <v>0</v>
      </c>
      <c r="O13" s="15">
        <f t="shared" si="8"/>
        <v>0</v>
      </c>
      <c r="P13" s="15">
        <f t="shared" si="9"/>
        <v>0</v>
      </c>
      <c r="Q13" s="13" t="str">
        <f t="array" ref="Q13">IFERROR(INDEX(contadores!$N:$N,MATCH($D13,contadores!$D:$D,0)),"")</f>
        <v/>
      </c>
      <c r="R13" s="15" t="str">
        <f t="shared" si="10"/>
        <v/>
      </c>
      <c r="S13" s="15" t="str">
        <f t="shared" si="11"/>
        <v/>
      </c>
      <c r="T13" s="15" t="str">
        <f t="shared" si="12"/>
        <v/>
      </c>
      <c r="U13" s="13" t="str">
        <f t="array" ref="U13">IFERROR(INDEX(contadores!$P:$P,MATCH($D13,contadores!$D:$D,0)),"")</f>
        <v/>
      </c>
      <c r="V13" s="15" t="str">
        <f t="shared" si="13"/>
        <v/>
      </c>
      <c r="W13" s="15" t="str">
        <f t="shared" si="14"/>
        <v/>
      </c>
      <c r="X13" s="15" t="str">
        <f t="shared" si="15"/>
        <v/>
      </c>
      <c r="Y13" s="13" t="str">
        <f t="array" ref="Y13">IFERROR(INDEX(contadores!$R:$R,MATCH($D13,contadores!$D:$D,0)),"")</f>
        <v/>
      </c>
      <c r="Z13" s="15" t="str">
        <f t="shared" si="16"/>
        <v/>
      </c>
      <c r="AA13" s="15" t="str">
        <f t="shared" si="17"/>
        <v/>
      </c>
      <c r="AB13" s="15" t="str">
        <f t="shared" si="18"/>
        <v/>
      </c>
      <c r="AC13" s="13" t="str">
        <f t="array" ref="AC13">IFERROR(INDEX(contadores!$T:$T,MATCH($D13,contadores!$D:$D,0)),"")</f>
        <v/>
      </c>
      <c r="AD13" s="15" t="str">
        <f t="shared" si="19"/>
        <v/>
      </c>
      <c r="AE13" s="15" t="str">
        <f t="shared" si="20"/>
        <v/>
      </c>
      <c r="AF13" s="15" t="str">
        <f t="shared" si="21"/>
        <v/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ht="21.75" customHeight="1">
      <c r="A14" s="26" t="s">
        <v>152</v>
      </c>
      <c r="B14" s="26" t="s">
        <v>134</v>
      </c>
      <c r="C14" s="27" t="s">
        <v>155</v>
      </c>
      <c r="D14" s="27" t="s">
        <v>158</v>
      </c>
      <c r="E14" s="13">
        <f t="array" ref="E14">IFERROR(INDEX(contadores!$H:$H,MATCH($D14,contadores!$D:$D,0)),"")</f>
        <v>202</v>
      </c>
      <c r="F14" s="15">
        <f t="shared" si="1"/>
        <v>0</v>
      </c>
      <c r="G14" s="15">
        <f t="shared" si="2"/>
        <v>0</v>
      </c>
      <c r="H14" s="29">
        <f t="shared" si="3"/>
        <v>55348</v>
      </c>
      <c r="I14" s="13">
        <f t="array" ref="I14">IFERROR(INDEX(contadores!$J:$J,MATCH($D14,contadores!$D:$D,0)),"")</f>
        <v>1917</v>
      </c>
      <c r="J14" s="15">
        <f t="shared" si="4"/>
        <v>0</v>
      </c>
      <c r="K14" s="15">
        <f t="shared" si="5"/>
        <v>0</v>
      </c>
      <c r="L14" s="29">
        <f t="shared" si="6"/>
        <v>525258</v>
      </c>
      <c r="M14" s="13">
        <f t="array" ref="M14">IFERROR(INDEX(contadores!$L:$L,MATCH($D14,contadores!$D:$D,0)),"")</f>
        <v>8071</v>
      </c>
      <c r="N14" s="15">
        <f t="shared" si="7"/>
        <v>0</v>
      </c>
      <c r="O14" s="19">
        <f t="shared" si="8"/>
        <v>0</v>
      </c>
      <c r="P14" s="29">
        <f t="shared" si="9"/>
        <v>2211454</v>
      </c>
      <c r="Q14" s="13" t="str">
        <f t="array" ref="Q14">IFERROR(INDEX(contadores!$N:$N,MATCH($D14,contadores!$D:$D,0)),"")</f>
        <v/>
      </c>
      <c r="R14" s="15" t="str">
        <f t="shared" si="10"/>
        <v/>
      </c>
      <c r="S14" s="15" t="str">
        <f t="shared" si="11"/>
        <v/>
      </c>
      <c r="T14" s="29" t="str">
        <f t="shared" si="12"/>
        <v/>
      </c>
      <c r="U14" s="13" t="str">
        <f t="array" ref="U14">IFERROR(INDEX(contadores!$P:$P,MATCH($D14,contadores!$D:$D,0)),"")</f>
        <v/>
      </c>
      <c r="V14" s="15" t="str">
        <f t="shared" si="13"/>
        <v/>
      </c>
      <c r="W14" s="15" t="str">
        <f t="shared" si="14"/>
        <v/>
      </c>
      <c r="X14" s="29" t="str">
        <f t="shared" si="15"/>
        <v/>
      </c>
      <c r="Y14" s="13" t="str">
        <f t="array" ref="Y14">IFERROR(INDEX(contadores!$R:$R,MATCH($D14,contadores!$D:$D,0)),"")</f>
        <v/>
      </c>
      <c r="Z14" s="15" t="str">
        <f t="shared" si="16"/>
        <v/>
      </c>
      <c r="AA14" s="15" t="str">
        <f t="shared" si="17"/>
        <v/>
      </c>
      <c r="AB14" s="29" t="str">
        <f t="shared" si="18"/>
        <v/>
      </c>
      <c r="AC14" s="13" t="str">
        <f t="array" ref="AC14">IFERROR(INDEX(contadores!$T:$T,MATCH($D14,contadores!$D:$D,0)),"")</f>
        <v/>
      </c>
      <c r="AD14" s="15" t="str">
        <f t="shared" si="19"/>
        <v/>
      </c>
      <c r="AE14" s="15" t="str">
        <f t="shared" si="20"/>
        <v/>
      </c>
      <c r="AF14" s="29" t="str">
        <f t="shared" si="21"/>
        <v/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</row>
  </sheetData>
  <printOptions/>
  <pageMargins bottom="1.0" footer="0.0" header="0.0" left="0.75" right="0.75" top="1.0"/>
  <pageSetup paperSize="9" orientation="portrait"/>
  <drawing r:id="rId1"/>
</worksheet>
</file>