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ROCEDIMIENTOS Y FORMATOS GESTION Y SERVICIOS\2SOLICITUD Y LEGALIZACION DE ANTICIPOS\"/>
    </mc:Choice>
  </mc:AlternateContent>
  <bookViews>
    <workbookView xWindow="0" yWindow="0" windowWidth="24000" windowHeight="9435" activeTab="2"/>
  </bookViews>
  <sheets>
    <sheet name="LEGALIZACION" sheetId="4" r:id="rId1"/>
    <sheet name="Hoja1" sheetId="5" r:id="rId2"/>
    <sheet name="viajes" sheetId="6" r:id="rId3"/>
  </sheets>
  <definedNames>
    <definedName name="_xlnm.Print_Area" localSheetId="1">Hoja1!$A$1:$G$33</definedName>
    <definedName name="_xlnm.Print_Area" localSheetId="2">viajes!$A$1:$G$30</definedName>
  </definedNames>
  <calcPr calcId="162913"/>
</workbook>
</file>

<file path=xl/calcChain.xml><?xml version="1.0" encoding="utf-8"?>
<calcChain xmlns="http://schemas.openxmlformats.org/spreadsheetml/2006/main">
  <c r="G10" i="6" l="1"/>
  <c r="C15" i="6" s="1"/>
  <c r="C16" i="6" s="1"/>
  <c r="D44" i="4" l="1"/>
  <c r="G12" i="5"/>
  <c r="G13" i="5" l="1"/>
  <c r="C18" i="5" s="1"/>
  <c r="C19" i="5" s="1"/>
  <c r="H19" i="4"/>
  <c r="C24" i="4" l="1"/>
  <c r="C25" i="4" s="1"/>
</calcChain>
</file>

<file path=xl/sharedStrings.xml><?xml version="1.0" encoding="utf-8"?>
<sst xmlns="http://schemas.openxmlformats.org/spreadsheetml/2006/main" count="131" uniqueCount="62">
  <si>
    <t xml:space="preserve">Fecha </t>
  </si>
  <si>
    <t xml:space="preserve">Descripcion del Gasto </t>
  </si>
  <si>
    <t>Valor</t>
  </si>
  <si>
    <t>Total</t>
  </si>
  <si>
    <t xml:space="preserve">Nit Provedor </t>
  </si>
  <si>
    <t xml:space="preserve">Nombre </t>
  </si>
  <si>
    <t>Pagina 1 de 1</t>
  </si>
  <si>
    <t>Cargo:</t>
  </si>
  <si>
    <t>Aprobado Por:</t>
  </si>
  <si>
    <t>VALOR ANTICIPADO</t>
  </si>
  <si>
    <t>OBSERVACIONES:</t>
  </si>
  <si>
    <t>FORMATO LEGALIZACION ANTICIPO DE GASTOS</t>
  </si>
  <si>
    <t>Fecha: 04/03/2023</t>
  </si>
  <si>
    <t>Versión: 2</t>
  </si>
  <si>
    <t>Fecha Legalización:</t>
  </si>
  <si>
    <t>VALOR GASTADO</t>
  </si>
  <si>
    <t>VALOR POR REINTEGRAR</t>
  </si>
  <si>
    <t xml:space="preserve">Legalizado Por: </t>
  </si>
  <si>
    <t>CONTROL DE CAMBIOS</t>
  </si>
  <si>
    <t>Versión</t>
  </si>
  <si>
    <t>Descripción breve del cambio</t>
  </si>
  <si>
    <t>Fecha de aprobación</t>
  </si>
  <si>
    <r>
      <rPr>
        <b/>
        <sz val="10"/>
        <color theme="1" tint="0.499984740745262"/>
        <rFont val="Century Gothic"/>
        <family val="2"/>
      </rPr>
      <t>ELABORÓ</t>
    </r>
    <r>
      <rPr>
        <sz val="10"/>
        <color theme="1" tint="0.499984740745262"/>
        <rFont val="Century Gothic"/>
        <family val="2"/>
      </rPr>
      <t>: Auditor Interno</t>
    </r>
  </si>
  <si>
    <r>
      <rPr>
        <b/>
        <sz val="10"/>
        <color theme="1" tint="0.499984740745262"/>
        <rFont val="Century Gothic"/>
        <family val="2"/>
      </rPr>
      <t>REVISÓ</t>
    </r>
    <r>
      <rPr>
        <sz val="10"/>
        <color theme="1" tint="0.499984740745262"/>
        <rFont val="Century Gothic"/>
        <family val="2"/>
      </rPr>
      <t>: Jefe Financiera y Contable</t>
    </r>
  </si>
  <si>
    <r>
      <rPr>
        <b/>
        <sz val="10"/>
        <color theme="1" tint="0.499984740745262"/>
        <rFont val="Century Gothic"/>
        <family val="2"/>
      </rPr>
      <t>APROBÓ</t>
    </r>
    <r>
      <rPr>
        <sz val="10"/>
        <color theme="1" tint="0.499984740745262"/>
        <rFont val="Century Gothic"/>
        <family val="2"/>
      </rPr>
      <t>: Directora Administrativa</t>
    </r>
  </si>
  <si>
    <t>Se cambió concepto reembolso por el de legalización.</t>
  </si>
  <si>
    <t>ADORNOS HALLOWEEN</t>
  </si>
  <si>
    <t>RECIBO DE CAJA</t>
  </si>
  <si>
    <t>DULCES</t>
  </si>
  <si>
    <t>DOLLARCITY</t>
  </si>
  <si>
    <t>ACTIVIDAD HALLOWEEN</t>
  </si>
  <si>
    <t>ALTA PASTELERIA SAS</t>
  </si>
  <si>
    <t>GALL MANTEQUILLA</t>
  </si>
  <si>
    <t>TU FIESTA Y REGALOS SAS</t>
  </si>
  <si>
    <t>ARTICULOS HALLOWEEN</t>
  </si>
  <si>
    <t>BONOS CREPS</t>
  </si>
  <si>
    <t>CREPS &amp; WAFLES</t>
  </si>
  <si>
    <t>PAPELERIA UNIVERSAL DIST SAS</t>
  </si>
  <si>
    <t>901160842-9</t>
  </si>
  <si>
    <t>N.A.</t>
  </si>
  <si>
    <t>DIRECTORA ADMINISTRATIVA</t>
  </si>
  <si>
    <t>Transacción banco de Bogotá</t>
  </si>
  <si>
    <t>BANCO DE BOGOTA</t>
  </si>
  <si>
    <t>ALICIA NARANJO SAUCEDO</t>
  </si>
  <si>
    <t>ALIMENTACION ACTIVIDAD CUMPLEAÑOS</t>
  </si>
  <si>
    <t>DECORACION GLOBOS CUMPLEAÑOS</t>
  </si>
  <si>
    <t>COCA COLA</t>
  </si>
  <si>
    <t>Anticipo de gastos para celebración Halloween y cumpleaños Gerente</t>
  </si>
  <si>
    <t>superinter Pasarela</t>
  </si>
  <si>
    <t>Dulces</t>
  </si>
  <si>
    <t>890900608-9</t>
  </si>
  <si>
    <t>Desayunos</t>
  </si>
  <si>
    <t>MIS CARNES PARRILLA</t>
  </si>
  <si>
    <t>Alimentación auditoria</t>
  </si>
  <si>
    <t>Restaurante y Parrilla el Nogal</t>
  </si>
  <si>
    <t>94418754-2</t>
  </si>
  <si>
    <t>Aprobó: Directora Administrativa</t>
  </si>
  <si>
    <t>Anticipo  Gastos Auditoria Calidad</t>
  </si>
  <si>
    <t>TRANSPORTE</t>
  </si>
  <si>
    <t>UGPP</t>
  </si>
  <si>
    <t>UGPP/ VISITA CLIENTE</t>
  </si>
  <si>
    <t>ESTE SALDO SE CONSIGNARA EN EL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</si>
</sst>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$&quot;\ * #,##0_-;\-&quot;$&quot;\ * #,##0_-;_-&quot;$&quot;\ * &quot;-&quot;_-;_-@_-"/>
    <numFmt numFmtId="164" formatCode="[$$-240A]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9"/>
      <color theme="1" tint="0.499984740745262"/>
      <name val="Century Gothic"/>
      <family val="2"/>
    </font>
    <font>
      <b/>
      <sz val="8"/>
      <color theme="1" tint="0.499984740745262"/>
      <name val="Century Gothic"/>
      <family val="2"/>
    </font>
    <font>
      <sz val="8"/>
      <color theme="1" tint="0.499984740745262"/>
      <name val="Century Gothic"/>
      <family val="2"/>
    </font>
    <font>
      <sz val="10"/>
      <color theme="1" tint="0.499984740745262"/>
      <name val="Century Gothic"/>
      <family val="2"/>
    </font>
    <font>
      <b/>
      <sz val="10"/>
      <color theme="1" tint="0.499984740745262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5" fontId="2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3" fontId="3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2" fontId="1" fillId="0" borderId="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5" fontId="7" fillId="0" borderId="11" xfId="0" applyNumberFormat="1" applyFont="1" applyBorder="1" applyAlignment="1">
      <alignment horizontal="center" vertical="center" wrapText="1"/>
    </xf>
    <xf numFmtId="15" fontId="2" fillId="0" borderId="0" xfId="0" applyNumberFormat="1" applyFont="1" applyBorder="1" applyAlignment="1">
      <alignment horizontal="center" vertical="center"/>
    </xf>
    <xf numFmtId="42" fontId="1" fillId="0" borderId="0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42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0</xdr:row>
      <xdr:rowOff>38100</xdr:rowOff>
    </xdr:from>
    <xdr:to>
      <xdr:col>1</xdr:col>
      <xdr:colOff>1018172</xdr:colOff>
      <xdr:row>2</xdr:row>
      <xdr:rowOff>209550</xdr:rowOff>
    </xdr:to>
    <xdr:pic>
      <xdr:nvPicPr>
        <xdr:cNvPr id="4" name="Imagen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8100"/>
          <a:ext cx="1961147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0</xdr:row>
      <xdr:rowOff>38100</xdr:rowOff>
    </xdr:from>
    <xdr:to>
      <xdr:col>1</xdr:col>
      <xdr:colOff>1018172</xdr:colOff>
      <xdr:row>2</xdr:row>
      <xdr:rowOff>209550</xdr:rowOff>
    </xdr:to>
    <xdr:pic>
      <xdr:nvPicPr>
        <xdr:cNvPr id="2" name="Imagen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8100"/>
          <a:ext cx="1770647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0</xdr:row>
      <xdr:rowOff>38100</xdr:rowOff>
    </xdr:from>
    <xdr:to>
      <xdr:col>1</xdr:col>
      <xdr:colOff>1018172</xdr:colOff>
      <xdr:row>2</xdr:row>
      <xdr:rowOff>209550</xdr:rowOff>
    </xdr:to>
    <xdr:pic>
      <xdr:nvPicPr>
        <xdr:cNvPr id="2" name="Imagen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38100"/>
          <a:ext cx="1770647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showGridLines="0" workbookViewId="0">
      <selection activeCell="D33" sqref="D33"/>
    </sheetView>
  </sheetViews>
  <sheetFormatPr baseColWidth="10" defaultRowHeight="16.5" x14ac:dyDescent="0.25"/>
  <cols>
    <col min="1" max="2" width="18.85546875" style="5" customWidth="1"/>
    <col min="3" max="6" width="18.85546875" style="11" customWidth="1"/>
    <col min="7" max="7" width="18" style="11" customWidth="1"/>
    <col min="8" max="8" width="19.7109375" style="5" customWidth="1"/>
    <col min="9" max="16384" width="11.42578125" style="5"/>
  </cols>
  <sheetData>
    <row r="1" spans="1:12" ht="20.25" customHeight="1" x14ac:dyDescent="0.25">
      <c r="A1" s="31"/>
      <c r="B1" s="32"/>
      <c r="C1" s="37" t="s">
        <v>11</v>
      </c>
      <c r="D1" s="38"/>
      <c r="E1" s="38"/>
      <c r="F1" s="38"/>
      <c r="G1" s="38"/>
      <c r="H1" s="4" t="s">
        <v>13</v>
      </c>
    </row>
    <row r="2" spans="1:12" ht="20.25" customHeight="1" x14ac:dyDescent="0.25">
      <c r="A2" s="33"/>
      <c r="B2" s="34"/>
      <c r="C2" s="39"/>
      <c r="D2" s="40"/>
      <c r="E2" s="40"/>
      <c r="F2" s="40"/>
      <c r="G2" s="40"/>
      <c r="H2" s="4" t="s">
        <v>12</v>
      </c>
    </row>
    <row r="3" spans="1:12" ht="20.25" customHeight="1" x14ac:dyDescent="0.25">
      <c r="A3" s="35"/>
      <c r="B3" s="36"/>
      <c r="C3" s="41"/>
      <c r="D3" s="42"/>
      <c r="E3" s="42"/>
      <c r="F3" s="42"/>
      <c r="G3" s="42"/>
      <c r="H3" s="3" t="s">
        <v>6</v>
      </c>
    </row>
    <row r="5" spans="1:12" ht="20.25" customHeight="1" x14ac:dyDescent="0.25">
      <c r="A5" s="43" t="s">
        <v>14</v>
      </c>
      <c r="B5" s="44"/>
      <c r="C5" s="6">
        <v>45233</v>
      </c>
      <c r="D5" s="22"/>
      <c r="E5" s="22"/>
      <c r="F5" s="22"/>
      <c r="G5" s="22"/>
    </row>
    <row r="7" spans="1:12" ht="24.75" customHeight="1" x14ac:dyDescent="0.25">
      <c r="A7" s="1" t="s">
        <v>0</v>
      </c>
      <c r="B7" s="1" t="s">
        <v>4</v>
      </c>
      <c r="C7" s="47" t="s">
        <v>5</v>
      </c>
      <c r="D7" s="48"/>
      <c r="E7" s="47" t="s">
        <v>1</v>
      </c>
      <c r="F7" s="53"/>
      <c r="G7" s="53"/>
      <c r="H7" s="1" t="s">
        <v>2</v>
      </c>
    </row>
    <row r="8" spans="1:12" x14ac:dyDescent="0.25">
      <c r="A8" s="7">
        <v>45229</v>
      </c>
      <c r="B8" s="25" t="s">
        <v>39</v>
      </c>
      <c r="C8" s="49" t="s">
        <v>27</v>
      </c>
      <c r="D8" s="50"/>
      <c r="E8" s="49" t="s">
        <v>45</v>
      </c>
      <c r="F8" s="54"/>
      <c r="G8" s="54"/>
      <c r="H8" s="8">
        <v>170000</v>
      </c>
      <c r="J8" s="9"/>
      <c r="K8" s="9"/>
      <c r="L8" s="9"/>
    </row>
    <row r="9" spans="1:12" x14ac:dyDescent="0.25">
      <c r="A9" s="7">
        <v>45229</v>
      </c>
      <c r="B9" s="25" t="s">
        <v>39</v>
      </c>
      <c r="C9" s="49" t="s">
        <v>42</v>
      </c>
      <c r="D9" s="50"/>
      <c r="E9" s="49" t="s">
        <v>41</v>
      </c>
      <c r="F9" s="54"/>
      <c r="G9" s="54"/>
      <c r="H9" s="8">
        <v>2400</v>
      </c>
      <c r="J9" s="9"/>
      <c r="K9" s="9"/>
      <c r="L9" s="9"/>
    </row>
    <row r="10" spans="1:12" x14ac:dyDescent="0.25">
      <c r="A10" s="7">
        <v>45229</v>
      </c>
      <c r="B10" s="25">
        <v>29035421</v>
      </c>
      <c r="C10" s="49" t="s">
        <v>43</v>
      </c>
      <c r="D10" s="50"/>
      <c r="E10" s="49" t="s">
        <v>44</v>
      </c>
      <c r="F10" s="54"/>
      <c r="G10" s="54"/>
      <c r="H10" s="8">
        <v>188000</v>
      </c>
    </row>
    <row r="11" spans="1:12" x14ac:dyDescent="0.25">
      <c r="A11" s="7">
        <v>45229</v>
      </c>
      <c r="B11" s="25" t="s">
        <v>39</v>
      </c>
      <c r="C11" s="49" t="s">
        <v>27</v>
      </c>
      <c r="D11" s="50"/>
      <c r="E11" s="49" t="s">
        <v>46</v>
      </c>
      <c r="F11" s="54"/>
      <c r="G11" s="54"/>
      <c r="H11" s="8">
        <v>24000</v>
      </c>
    </row>
    <row r="12" spans="1:12" x14ac:dyDescent="0.25">
      <c r="A12" s="7">
        <v>45230</v>
      </c>
      <c r="B12" s="4" t="s">
        <v>39</v>
      </c>
      <c r="C12" s="49" t="s">
        <v>27</v>
      </c>
      <c r="D12" s="50"/>
      <c r="E12" s="49" t="s">
        <v>26</v>
      </c>
      <c r="F12" s="54"/>
      <c r="G12" s="54"/>
      <c r="H12" s="8">
        <v>15500</v>
      </c>
      <c r="J12" s="9"/>
      <c r="K12" s="9"/>
      <c r="L12" s="9"/>
    </row>
    <row r="13" spans="1:12" x14ac:dyDescent="0.25">
      <c r="A13" s="7">
        <v>45230</v>
      </c>
      <c r="B13" s="4" t="s">
        <v>39</v>
      </c>
      <c r="C13" s="49" t="s">
        <v>27</v>
      </c>
      <c r="D13" s="50"/>
      <c r="E13" s="49" t="s">
        <v>28</v>
      </c>
      <c r="F13" s="54"/>
      <c r="G13" s="54"/>
      <c r="H13" s="8">
        <v>69100</v>
      </c>
      <c r="J13" s="9"/>
      <c r="K13" s="9"/>
      <c r="L13" s="9"/>
    </row>
    <row r="14" spans="1:12" x14ac:dyDescent="0.25">
      <c r="A14" s="7">
        <v>45230</v>
      </c>
      <c r="B14" s="4">
        <v>9009432434</v>
      </c>
      <c r="C14" s="49" t="s">
        <v>29</v>
      </c>
      <c r="D14" s="50"/>
      <c r="E14" s="49" t="s">
        <v>30</v>
      </c>
      <c r="F14" s="54"/>
      <c r="G14" s="54"/>
      <c r="H14" s="8">
        <v>131100</v>
      </c>
      <c r="J14" s="9"/>
      <c r="K14" s="9"/>
      <c r="L14" s="9"/>
    </row>
    <row r="15" spans="1:12" x14ac:dyDescent="0.25">
      <c r="A15" s="7">
        <v>45230</v>
      </c>
      <c r="B15" s="4">
        <v>38550708</v>
      </c>
      <c r="C15" s="49" t="s">
        <v>31</v>
      </c>
      <c r="D15" s="50"/>
      <c r="E15" s="49" t="s">
        <v>32</v>
      </c>
      <c r="F15" s="54"/>
      <c r="G15" s="54"/>
      <c r="H15" s="8">
        <v>33800</v>
      </c>
      <c r="J15" s="9"/>
      <c r="K15" s="9"/>
      <c r="L15" s="9"/>
    </row>
    <row r="16" spans="1:12" x14ac:dyDescent="0.25">
      <c r="A16" s="7">
        <v>45230</v>
      </c>
      <c r="B16" s="4">
        <v>901116937</v>
      </c>
      <c r="C16" s="49" t="s">
        <v>33</v>
      </c>
      <c r="D16" s="50"/>
      <c r="E16" s="49" t="s">
        <v>34</v>
      </c>
      <c r="F16" s="54"/>
      <c r="G16" s="54"/>
      <c r="H16" s="8">
        <v>42340</v>
      </c>
      <c r="J16" s="9"/>
      <c r="K16" s="9"/>
      <c r="L16" s="9"/>
    </row>
    <row r="17" spans="1:12" x14ac:dyDescent="0.25">
      <c r="A17" s="7">
        <v>45230</v>
      </c>
      <c r="B17" s="4" t="s">
        <v>38</v>
      </c>
      <c r="C17" s="49" t="s">
        <v>37</v>
      </c>
      <c r="D17" s="50"/>
      <c r="E17" s="49" t="s">
        <v>34</v>
      </c>
      <c r="F17" s="54"/>
      <c r="G17" s="54"/>
      <c r="H17" s="8">
        <v>32900</v>
      </c>
      <c r="J17" s="9"/>
      <c r="K17" s="9"/>
      <c r="L17" s="9"/>
    </row>
    <row r="18" spans="1:12" x14ac:dyDescent="0.25">
      <c r="A18" s="7">
        <v>45233</v>
      </c>
      <c r="B18" s="4"/>
      <c r="C18" s="49" t="s">
        <v>36</v>
      </c>
      <c r="D18" s="50"/>
      <c r="E18" s="49" t="s">
        <v>35</v>
      </c>
      <c r="F18" s="54"/>
      <c r="G18" s="54"/>
      <c r="H18" s="8">
        <v>60000</v>
      </c>
      <c r="J18" s="9"/>
      <c r="K18" s="9"/>
      <c r="L18" s="9"/>
    </row>
    <row r="19" spans="1:12" ht="18" customHeight="1" x14ac:dyDescent="0.25">
      <c r="A19" s="11"/>
      <c r="B19" s="12"/>
      <c r="E19" s="46" t="s">
        <v>3</v>
      </c>
      <c r="F19" s="46"/>
      <c r="G19" s="46"/>
      <c r="H19" s="10">
        <f>SUM(H8:H18)</f>
        <v>769140</v>
      </c>
    </row>
    <row r="20" spans="1:12" ht="18" customHeight="1" x14ac:dyDescent="0.25">
      <c r="A20" s="11"/>
      <c r="B20" s="12"/>
      <c r="E20" s="26"/>
      <c r="F20" s="26"/>
      <c r="G20" s="26"/>
      <c r="H20" s="27"/>
    </row>
    <row r="21" spans="1:12" ht="18" customHeight="1" x14ac:dyDescent="0.25">
      <c r="A21" s="11"/>
      <c r="B21" s="12"/>
      <c r="E21" s="26"/>
      <c r="F21" s="26"/>
      <c r="G21" s="26"/>
      <c r="H21" s="27"/>
    </row>
    <row r="22" spans="1:12" ht="18" customHeight="1" x14ac:dyDescent="0.25">
      <c r="A22" s="11"/>
      <c r="B22" s="12"/>
      <c r="H22" s="13"/>
    </row>
    <row r="23" spans="1:12" ht="18" customHeight="1" x14ac:dyDescent="0.25">
      <c r="A23" s="45" t="s">
        <v>9</v>
      </c>
      <c r="B23" s="45"/>
      <c r="C23" s="18">
        <v>1000000</v>
      </c>
      <c r="D23" s="23"/>
      <c r="E23" s="23"/>
      <c r="F23" s="23"/>
      <c r="G23" s="23"/>
      <c r="H23" s="13"/>
    </row>
    <row r="24" spans="1:12" ht="18" customHeight="1" x14ac:dyDescent="0.25">
      <c r="A24" s="45" t="s">
        <v>15</v>
      </c>
      <c r="B24" s="45"/>
      <c r="C24" s="18">
        <f>+H19</f>
        <v>769140</v>
      </c>
      <c r="D24" s="23"/>
      <c r="E24" s="23"/>
      <c r="F24" s="23"/>
      <c r="G24" s="23"/>
      <c r="H24" s="13"/>
    </row>
    <row r="25" spans="1:12" ht="18" customHeight="1" x14ac:dyDescent="0.25">
      <c r="A25" s="45" t="s">
        <v>16</v>
      </c>
      <c r="B25" s="45"/>
      <c r="C25" s="18">
        <f>+C23-C24</f>
        <v>230860</v>
      </c>
      <c r="D25" s="23"/>
      <c r="E25" s="23"/>
      <c r="F25" s="23"/>
      <c r="G25" s="23"/>
      <c r="H25" s="13"/>
    </row>
    <row r="26" spans="1:12" ht="18" customHeight="1" x14ac:dyDescent="0.25">
      <c r="A26" s="11"/>
      <c r="B26" s="12"/>
      <c r="H26" s="14"/>
    </row>
    <row r="27" spans="1:12" ht="18" customHeight="1" x14ac:dyDescent="0.25">
      <c r="A27" s="63" t="s">
        <v>10</v>
      </c>
      <c r="B27" s="64"/>
      <c r="C27" s="45" t="s">
        <v>47</v>
      </c>
      <c r="D27" s="45"/>
      <c r="E27" s="45"/>
      <c r="F27" s="45"/>
      <c r="G27" s="45"/>
      <c r="H27" s="45"/>
    </row>
    <row r="28" spans="1:12" ht="18" customHeight="1" x14ac:dyDescent="0.25">
      <c r="A28" s="65"/>
      <c r="B28" s="66"/>
      <c r="C28" s="45"/>
      <c r="D28" s="45"/>
      <c r="E28" s="45"/>
      <c r="F28" s="45"/>
      <c r="G28" s="45"/>
      <c r="H28" s="45"/>
    </row>
    <row r="29" spans="1:12" ht="18" customHeight="1" x14ac:dyDescent="0.25">
      <c r="A29" s="11"/>
      <c r="C29" s="15"/>
      <c r="D29" s="15"/>
      <c r="E29" s="15"/>
      <c r="F29" s="15"/>
      <c r="G29" s="15"/>
      <c r="H29" s="11"/>
    </row>
    <row r="30" spans="1:12" ht="19.5" customHeight="1" x14ac:dyDescent="0.25">
      <c r="A30" s="17" t="s">
        <v>17</v>
      </c>
      <c r="B30" s="16"/>
      <c r="C30" s="2"/>
      <c r="D30" s="15"/>
      <c r="E30" s="15"/>
      <c r="F30" s="15"/>
      <c r="G30" s="15"/>
      <c r="H30" s="11"/>
    </row>
    <row r="31" spans="1:12" ht="19.5" customHeight="1" x14ac:dyDescent="0.25">
      <c r="A31" s="17" t="s">
        <v>7</v>
      </c>
      <c r="B31" s="16" t="s">
        <v>40</v>
      </c>
      <c r="C31" s="2"/>
      <c r="D31" s="15"/>
      <c r="E31" s="15"/>
      <c r="F31" s="15"/>
      <c r="G31" s="15"/>
      <c r="H31" s="11"/>
    </row>
    <row r="32" spans="1:12" ht="18" customHeight="1" x14ac:dyDescent="0.25">
      <c r="A32" s="12"/>
      <c r="B32" s="17"/>
      <c r="C32" s="15"/>
      <c r="D32" s="15"/>
      <c r="E32" s="15"/>
      <c r="F32" s="15"/>
      <c r="G32" s="15"/>
      <c r="H32" s="11"/>
    </row>
    <row r="33" spans="1:8" x14ac:dyDescent="0.25">
      <c r="A33" s="17" t="s">
        <v>8</v>
      </c>
      <c r="B33" s="16"/>
      <c r="C33" s="2"/>
      <c r="D33" s="15"/>
      <c r="E33" s="15"/>
      <c r="F33" s="15"/>
      <c r="G33" s="15"/>
      <c r="H33" s="11"/>
    </row>
    <row r="34" spans="1:8" x14ac:dyDescent="0.25">
      <c r="B34" s="17"/>
    </row>
    <row r="35" spans="1:8" ht="16.5" customHeight="1" x14ac:dyDescent="0.25">
      <c r="A35" s="60" t="s">
        <v>18</v>
      </c>
      <c r="B35" s="61"/>
      <c r="C35" s="61"/>
      <c r="D35" s="61"/>
      <c r="E35" s="61"/>
      <c r="F35" s="61"/>
      <c r="G35" s="61"/>
      <c r="H35" s="62"/>
    </row>
    <row r="36" spans="1:8" x14ac:dyDescent="0.25">
      <c r="A36" s="19" t="s">
        <v>19</v>
      </c>
      <c r="B36" s="58" t="s">
        <v>20</v>
      </c>
      <c r="C36" s="59"/>
      <c r="D36" s="59"/>
      <c r="E36" s="59"/>
      <c r="F36" s="59"/>
      <c r="G36" s="59"/>
      <c r="H36" s="19" t="s">
        <v>21</v>
      </c>
    </row>
    <row r="37" spans="1:8" ht="16.5" customHeight="1" x14ac:dyDescent="0.25">
      <c r="A37" s="20">
        <v>1</v>
      </c>
      <c r="B37" s="56"/>
      <c r="C37" s="57"/>
      <c r="D37" s="57"/>
      <c r="E37" s="57"/>
      <c r="F37" s="57"/>
      <c r="G37" s="57"/>
      <c r="H37" s="21">
        <v>44067</v>
      </c>
    </row>
    <row r="38" spans="1:8" ht="16.5" customHeight="1" x14ac:dyDescent="0.25">
      <c r="A38" s="20">
        <v>2</v>
      </c>
      <c r="B38" s="56" t="s">
        <v>25</v>
      </c>
      <c r="C38" s="57"/>
      <c r="D38" s="57"/>
      <c r="E38" s="57"/>
      <c r="F38" s="57"/>
      <c r="G38" s="57"/>
      <c r="H38" s="21">
        <v>44989</v>
      </c>
    </row>
    <row r="39" spans="1:8" ht="16.5" customHeight="1" x14ac:dyDescent="0.25">
      <c r="A39" s="51" t="s">
        <v>22</v>
      </c>
      <c r="B39" s="55"/>
      <c r="C39" s="52"/>
      <c r="D39" s="51" t="s">
        <v>23</v>
      </c>
      <c r="E39" s="55"/>
      <c r="F39" s="52"/>
      <c r="G39" s="51" t="s">
        <v>24</v>
      </c>
      <c r="H39" s="52"/>
    </row>
    <row r="44" spans="1:8" x14ac:dyDescent="0.25">
      <c r="D44" s="30">
        <f>+C25+Hoja1!C19</f>
        <v>239560</v>
      </c>
    </row>
  </sheetData>
  <mergeCells count="40">
    <mergeCell ref="C10:D10"/>
    <mergeCell ref="E11:G11"/>
    <mergeCell ref="C11:D11"/>
    <mergeCell ref="A39:C39"/>
    <mergeCell ref="D39:F39"/>
    <mergeCell ref="B37:G37"/>
    <mergeCell ref="B38:G38"/>
    <mergeCell ref="B36:G36"/>
    <mergeCell ref="G39:H39"/>
    <mergeCell ref="E7:G7"/>
    <mergeCell ref="E12:G12"/>
    <mergeCell ref="E13:G13"/>
    <mergeCell ref="E14:G14"/>
    <mergeCell ref="E15:G15"/>
    <mergeCell ref="E16:G16"/>
    <mergeCell ref="E17:G17"/>
    <mergeCell ref="E18:G18"/>
    <mergeCell ref="E8:G8"/>
    <mergeCell ref="A35:H35"/>
    <mergeCell ref="A25:B25"/>
    <mergeCell ref="A27:B28"/>
    <mergeCell ref="C27:H28"/>
    <mergeCell ref="E9:G9"/>
    <mergeCell ref="E10:G10"/>
    <mergeCell ref="A1:B3"/>
    <mergeCell ref="C1:G3"/>
    <mergeCell ref="A5:B5"/>
    <mergeCell ref="A23:B23"/>
    <mergeCell ref="A24:B24"/>
    <mergeCell ref="E19:G19"/>
    <mergeCell ref="C7:D7"/>
    <mergeCell ref="C12:D12"/>
    <mergeCell ref="C13:D13"/>
    <mergeCell ref="C14:D14"/>
    <mergeCell ref="C15:D15"/>
    <mergeCell ref="C16:D16"/>
    <mergeCell ref="C17:D17"/>
    <mergeCell ref="C18:D18"/>
    <mergeCell ref="C8:D8"/>
    <mergeCell ref="C9:D9"/>
  </mergeCells>
  <printOptions horizontalCentered="1"/>
  <pageMargins left="0.31496062992125984" right="0.31496062992125984" top="0.35433070866141736" bottom="0.35433070866141736" header="0.31496062992125984" footer="0.31496062992125984"/>
  <pageSetup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view="pageBreakPreview" zoomScale="60" zoomScaleNormal="100" workbookViewId="0">
      <selection activeCell="B24" sqref="B24"/>
    </sheetView>
  </sheetViews>
  <sheetFormatPr baseColWidth="10" defaultRowHeight="16.5" x14ac:dyDescent="0.25"/>
  <cols>
    <col min="1" max="2" width="18.85546875" style="5" customWidth="1"/>
    <col min="3" max="6" width="18.85546875" style="11" customWidth="1"/>
    <col min="7" max="7" width="19.7109375" style="5" customWidth="1"/>
    <col min="8" max="16384" width="11.42578125" style="5"/>
  </cols>
  <sheetData>
    <row r="1" spans="1:11" ht="20.25" customHeight="1" x14ac:dyDescent="0.25">
      <c r="A1" s="31"/>
      <c r="B1" s="32"/>
      <c r="C1" s="37" t="s">
        <v>11</v>
      </c>
      <c r="D1" s="38"/>
      <c r="E1" s="38"/>
      <c r="F1" s="38"/>
      <c r="G1" s="25" t="s">
        <v>13</v>
      </c>
    </row>
    <row r="2" spans="1:11" ht="20.25" customHeight="1" x14ac:dyDescent="0.25">
      <c r="A2" s="33"/>
      <c r="B2" s="34"/>
      <c r="C2" s="39"/>
      <c r="D2" s="40"/>
      <c r="E2" s="40"/>
      <c r="F2" s="40"/>
      <c r="G2" s="25" t="s">
        <v>12</v>
      </c>
    </row>
    <row r="3" spans="1:11" ht="20.25" customHeight="1" x14ac:dyDescent="0.25">
      <c r="A3" s="35"/>
      <c r="B3" s="36"/>
      <c r="C3" s="41"/>
      <c r="D3" s="42"/>
      <c r="E3" s="42"/>
      <c r="F3" s="42"/>
      <c r="G3" s="25" t="s">
        <v>6</v>
      </c>
    </row>
    <row r="5" spans="1:11" ht="20.25" customHeight="1" x14ac:dyDescent="0.25">
      <c r="A5" s="43" t="s">
        <v>14</v>
      </c>
      <c r="B5" s="44"/>
      <c r="C5" s="6">
        <v>45233</v>
      </c>
      <c r="D5" s="22"/>
      <c r="E5" s="22"/>
      <c r="F5" s="22"/>
    </row>
    <row r="7" spans="1:11" ht="24.75" customHeight="1" x14ac:dyDescent="0.25">
      <c r="A7" s="1" t="s">
        <v>0</v>
      </c>
      <c r="B7" s="1" t="s">
        <v>4</v>
      </c>
      <c r="C7" s="47" t="s">
        <v>5</v>
      </c>
      <c r="D7" s="48"/>
      <c r="E7" s="47" t="s">
        <v>1</v>
      </c>
      <c r="F7" s="53"/>
      <c r="G7" s="1" t="s">
        <v>2</v>
      </c>
    </row>
    <row r="8" spans="1:11" x14ac:dyDescent="0.25">
      <c r="A8" s="7">
        <v>45228</v>
      </c>
      <c r="B8" s="25" t="s">
        <v>50</v>
      </c>
      <c r="C8" s="49" t="s">
        <v>48</v>
      </c>
      <c r="D8" s="50"/>
      <c r="E8" s="49" t="s">
        <v>49</v>
      </c>
      <c r="F8" s="54"/>
      <c r="G8" s="8">
        <v>9800</v>
      </c>
      <c r="I8" s="9"/>
      <c r="J8" s="9"/>
      <c r="K8" s="9"/>
    </row>
    <row r="9" spans="1:11" x14ac:dyDescent="0.25">
      <c r="A9" s="7">
        <v>45230</v>
      </c>
      <c r="B9" s="25" t="s">
        <v>39</v>
      </c>
      <c r="C9" s="49" t="s">
        <v>27</v>
      </c>
      <c r="D9" s="50"/>
      <c r="E9" s="49" t="s">
        <v>51</v>
      </c>
      <c r="F9" s="54"/>
      <c r="G9" s="8">
        <v>21000</v>
      </c>
      <c r="I9" s="9"/>
      <c r="J9" s="9"/>
      <c r="K9" s="9"/>
    </row>
    <row r="10" spans="1:11" x14ac:dyDescent="0.25">
      <c r="A10" s="7">
        <v>45230</v>
      </c>
      <c r="B10" s="25">
        <v>9009432434</v>
      </c>
      <c r="C10" s="49" t="s">
        <v>29</v>
      </c>
      <c r="D10" s="50"/>
      <c r="E10" s="49" t="s">
        <v>49</v>
      </c>
      <c r="F10" s="54"/>
      <c r="G10" s="8">
        <v>8000</v>
      </c>
      <c r="I10" s="9"/>
      <c r="J10" s="9"/>
      <c r="K10" s="9"/>
    </row>
    <row r="11" spans="1:11" x14ac:dyDescent="0.25">
      <c r="A11" s="7">
        <v>45230</v>
      </c>
      <c r="B11" s="25">
        <v>79989194</v>
      </c>
      <c r="C11" s="49" t="s">
        <v>52</v>
      </c>
      <c r="D11" s="50"/>
      <c r="E11" s="49" t="s">
        <v>53</v>
      </c>
      <c r="F11" s="54"/>
      <c r="G11" s="8">
        <v>128500</v>
      </c>
      <c r="I11" s="9"/>
      <c r="J11" s="9"/>
      <c r="K11" s="9"/>
    </row>
    <row r="12" spans="1:11" x14ac:dyDescent="0.25">
      <c r="A12" s="7">
        <v>45230</v>
      </c>
      <c r="B12" s="25" t="s">
        <v>55</v>
      </c>
      <c r="C12" s="49" t="s">
        <v>54</v>
      </c>
      <c r="D12" s="50"/>
      <c r="E12" s="49" t="s">
        <v>53</v>
      </c>
      <c r="F12" s="54"/>
      <c r="G12" s="8">
        <f>28000+(14000*4)</f>
        <v>84000</v>
      </c>
      <c r="I12" s="9"/>
      <c r="J12" s="9"/>
      <c r="K12" s="9"/>
    </row>
    <row r="13" spans="1:11" ht="18" customHeight="1" x14ac:dyDescent="0.25">
      <c r="A13" s="11"/>
      <c r="B13" s="12"/>
      <c r="E13" s="46" t="s">
        <v>3</v>
      </c>
      <c r="F13" s="46"/>
      <c r="G13" s="10">
        <f>SUM(G8:G12)</f>
        <v>251300</v>
      </c>
    </row>
    <row r="14" spans="1:11" ht="18" customHeight="1" x14ac:dyDescent="0.25">
      <c r="A14" s="11"/>
      <c r="B14" s="12"/>
      <c r="E14" s="26"/>
      <c r="F14" s="26"/>
      <c r="G14" s="27"/>
    </row>
    <row r="15" spans="1:11" ht="18" customHeight="1" x14ac:dyDescent="0.25">
      <c r="A15" s="11"/>
      <c r="B15" s="12"/>
      <c r="E15" s="26"/>
      <c r="F15" s="26"/>
      <c r="G15" s="27"/>
    </row>
    <row r="16" spans="1:11" ht="18" customHeight="1" x14ac:dyDescent="0.25">
      <c r="A16" s="11"/>
      <c r="B16" s="12"/>
      <c r="G16" s="13"/>
    </row>
    <row r="17" spans="1:7" ht="18" customHeight="1" x14ac:dyDescent="0.25">
      <c r="A17" s="45" t="s">
        <v>9</v>
      </c>
      <c r="B17" s="45"/>
      <c r="C17" s="18">
        <v>260000</v>
      </c>
      <c r="D17" s="23"/>
      <c r="E17" s="23"/>
      <c r="F17" s="23"/>
      <c r="G17" s="13"/>
    </row>
    <row r="18" spans="1:7" ht="18" customHeight="1" x14ac:dyDescent="0.25">
      <c r="A18" s="45" t="s">
        <v>15</v>
      </c>
      <c r="B18" s="45"/>
      <c r="C18" s="18">
        <f>+G13</f>
        <v>251300</v>
      </c>
      <c r="D18" s="23"/>
      <c r="E18" s="23"/>
      <c r="F18" s="23"/>
      <c r="G18" s="13"/>
    </row>
    <row r="19" spans="1:7" ht="18" customHeight="1" x14ac:dyDescent="0.25">
      <c r="A19" s="45" t="s">
        <v>16</v>
      </c>
      <c r="B19" s="45"/>
      <c r="C19" s="18">
        <f>+C17-C18</f>
        <v>8700</v>
      </c>
      <c r="D19" s="23"/>
      <c r="E19" s="23"/>
      <c r="F19" s="23"/>
      <c r="G19" s="13"/>
    </row>
    <row r="20" spans="1:7" ht="18" customHeight="1" x14ac:dyDescent="0.25">
      <c r="A20" s="11"/>
      <c r="B20" s="12"/>
      <c r="G20" s="14"/>
    </row>
    <row r="21" spans="1:7" ht="18" customHeight="1" x14ac:dyDescent="0.25">
      <c r="A21" s="63" t="s">
        <v>10</v>
      </c>
      <c r="B21" s="64"/>
      <c r="C21" s="45" t="s">
        <v>57</v>
      </c>
      <c r="D21" s="45"/>
      <c r="E21" s="45"/>
      <c r="F21" s="45"/>
      <c r="G21" s="45"/>
    </row>
    <row r="22" spans="1:7" ht="18" customHeight="1" x14ac:dyDescent="0.25">
      <c r="A22" s="65"/>
      <c r="B22" s="66"/>
      <c r="C22" s="45"/>
      <c r="D22" s="45"/>
      <c r="E22" s="45"/>
      <c r="F22" s="45"/>
      <c r="G22" s="45"/>
    </row>
    <row r="23" spans="1:7" ht="18" customHeight="1" x14ac:dyDescent="0.25">
      <c r="A23" s="11"/>
      <c r="C23" s="15"/>
      <c r="D23" s="15"/>
      <c r="E23" s="15"/>
      <c r="F23" s="15"/>
      <c r="G23" s="11"/>
    </row>
    <row r="24" spans="1:7" ht="19.5" customHeight="1" x14ac:dyDescent="0.25">
      <c r="A24" s="17" t="s">
        <v>17</v>
      </c>
      <c r="B24" s="16"/>
      <c r="C24" s="2"/>
      <c r="D24" s="15"/>
      <c r="E24" s="15"/>
      <c r="F24" s="15"/>
      <c r="G24" s="11"/>
    </row>
    <row r="25" spans="1:7" ht="19.5" customHeight="1" x14ac:dyDescent="0.25">
      <c r="A25" s="17" t="s">
        <v>7</v>
      </c>
      <c r="B25" s="16" t="s">
        <v>40</v>
      </c>
      <c r="C25" s="2"/>
      <c r="D25" s="15"/>
      <c r="E25" s="15"/>
      <c r="F25" s="15"/>
      <c r="G25" s="11"/>
    </row>
    <row r="26" spans="1:7" ht="18" customHeight="1" x14ac:dyDescent="0.25">
      <c r="A26" s="12"/>
      <c r="B26" s="17"/>
      <c r="C26" s="15"/>
      <c r="D26" s="15"/>
      <c r="E26" s="15"/>
      <c r="F26" s="15"/>
      <c r="G26" s="11"/>
    </row>
    <row r="27" spans="1:7" x14ac:dyDescent="0.25">
      <c r="A27" s="17" t="s">
        <v>8</v>
      </c>
      <c r="B27" s="16"/>
      <c r="C27" s="2"/>
      <c r="D27" s="15"/>
      <c r="E27" s="15"/>
      <c r="F27" s="15"/>
      <c r="G27" s="11"/>
    </row>
    <row r="28" spans="1:7" x14ac:dyDescent="0.25">
      <c r="B28" s="17"/>
    </row>
    <row r="29" spans="1:7" ht="16.5" customHeight="1" x14ac:dyDescent="0.25">
      <c r="A29" s="60" t="s">
        <v>18</v>
      </c>
      <c r="B29" s="61"/>
      <c r="C29" s="61"/>
      <c r="D29" s="61"/>
      <c r="E29" s="61"/>
      <c r="F29" s="61"/>
      <c r="G29" s="62"/>
    </row>
    <row r="30" spans="1:7" x14ac:dyDescent="0.25">
      <c r="A30" s="19" t="s">
        <v>19</v>
      </c>
      <c r="B30" s="58" t="s">
        <v>20</v>
      </c>
      <c r="C30" s="59"/>
      <c r="D30" s="59"/>
      <c r="E30" s="59"/>
      <c r="F30" s="59"/>
      <c r="G30" s="19" t="s">
        <v>21</v>
      </c>
    </row>
    <row r="31" spans="1:7" ht="16.5" customHeight="1" x14ac:dyDescent="0.25">
      <c r="A31" s="20">
        <v>1</v>
      </c>
      <c r="B31" s="56"/>
      <c r="C31" s="57"/>
      <c r="D31" s="57"/>
      <c r="E31" s="57"/>
      <c r="F31" s="57"/>
      <c r="G31" s="21">
        <v>44067</v>
      </c>
    </row>
    <row r="32" spans="1:7" ht="16.5" customHeight="1" x14ac:dyDescent="0.25">
      <c r="A32" s="20">
        <v>2</v>
      </c>
      <c r="B32" s="56" t="s">
        <v>25</v>
      </c>
      <c r="C32" s="57"/>
      <c r="D32" s="57"/>
      <c r="E32" s="57"/>
      <c r="F32" s="57"/>
      <c r="G32" s="21">
        <v>44989</v>
      </c>
    </row>
    <row r="33" spans="1:7" ht="27" customHeight="1" x14ac:dyDescent="0.25">
      <c r="A33" s="51" t="s">
        <v>22</v>
      </c>
      <c r="B33" s="55"/>
      <c r="C33" s="52"/>
      <c r="D33" s="51" t="s">
        <v>23</v>
      </c>
      <c r="E33" s="55"/>
      <c r="F33" s="52"/>
      <c r="G33" s="24" t="s">
        <v>56</v>
      </c>
    </row>
  </sheetData>
  <mergeCells count="27">
    <mergeCell ref="A33:C33"/>
    <mergeCell ref="D33:F33"/>
    <mergeCell ref="C12:D12"/>
    <mergeCell ref="E12:F12"/>
    <mergeCell ref="A21:B22"/>
    <mergeCell ref="C21:G22"/>
    <mergeCell ref="A29:G29"/>
    <mergeCell ref="B30:F30"/>
    <mergeCell ref="B31:F31"/>
    <mergeCell ref="B32:F32"/>
    <mergeCell ref="E13:F13"/>
    <mergeCell ref="A17:B17"/>
    <mergeCell ref="A18:B18"/>
    <mergeCell ref="A19:B19"/>
    <mergeCell ref="C11:D11"/>
    <mergeCell ref="E11:F11"/>
    <mergeCell ref="C8:D8"/>
    <mergeCell ref="E8:F8"/>
    <mergeCell ref="C9:D9"/>
    <mergeCell ref="E9:F9"/>
    <mergeCell ref="C10:D10"/>
    <mergeCell ref="E10:F10"/>
    <mergeCell ref="A1:B3"/>
    <mergeCell ref="C1:F3"/>
    <mergeCell ref="A5:B5"/>
    <mergeCell ref="C7:D7"/>
    <mergeCell ref="E7:F7"/>
  </mergeCells>
  <pageMargins left="0.70866141732283472" right="0.70866141732283472" top="0.74803149606299213" bottom="0.74803149606299213" header="0.31496062992125984" footer="0.31496062992125984"/>
  <pageSetup scale="86" orientation="landscape" r:id="rId1"/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view="pageBreakPreview" zoomScale="60" zoomScaleNormal="100" workbookViewId="0">
      <selection activeCell="C18" sqref="C18:G19"/>
    </sheetView>
  </sheetViews>
  <sheetFormatPr baseColWidth="10" defaultRowHeight="16.5" x14ac:dyDescent="0.25"/>
  <cols>
    <col min="1" max="2" width="18.85546875" style="5" customWidth="1"/>
    <col min="3" max="6" width="18.85546875" style="11" customWidth="1"/>
    <col min="7" max="7" width="19.7109375" style="5" customWidth="1"/>
    <col min="8" max="16384" width="11.42578125" style="5"/>
  </cols>
  <sheetData>
    <row r="1" spans="1:11" ht="20.25" customHeight="1" x14ac:dyDescent="0.25">
      <c r="A1" s="31"/>
      <c r="B1" s="32"/>
      <c r="C1" s="37" t="s">
        <v>11</v>
      </c>
      <c r="D1" s="38"/>
      <c r="E1" s="38"/>
      <c r="F1" s="38"/>
      <c r="G1" s="28" t="s">
        <v>13</v>
      </c>
    </row>
    <row r="2" spans="1:11" ht="20.25" customHeight="1" x14ac:dyDescent="0.25">
      <c r="A2" s="33"/>
      <c r="B2" s="34"/>
      <c r="C2" s="39"/>
      <c r="D2" s="40"/>
      <c r="E2" s="40"/>
      <c r="F2" s="40"/>
      <c r="G2" s="28" t="s">
        <v>12</v>
      </c>
    </row>
    <row r="3" spans="1:11" ht="20.25" customHeight="1" x14ac:dyDescent="0.25">
      <c r="A3" s="35"/>
      <c r="B3" s="36"/>
      <c r="C3" s="41"/>
      <c r="D3" s="42"/>
      <c r="E3" s="42"/>
      <c r="F3" s="42"/>
      <c r="G3" s="28" t="s">
        <v>6</v>
      </c>
    </row>
    <row r="5" spans="1:11" ht="20.25" customHeight="1" x14ac:dyDescent="0.25">
      <c r="A5" s="43" t="s">
        <v>14</v>
      </c>
      <c r="B5" s="44"/>
      <c r="C5" s="6">
        <v>45253</v>
      </c>
      <c r="D5" s="22"/>
      <c r="E5" s="22"/>
      <c r="F5" s="22"/>
    </row>
    <row r="7" spans="1:11" ht="24.75" customHeight="1" x14ac:dyDescent="0.25">
      <c r="A7" s="1" t="s">
        <v>0</v>
      </c>
      <c r="B7" s="1" t="s">
        <v>4</v>
      </c>
      <c r="C7" s="47" t="s">
        <v>5</v>
      </c>
      <c r="D7" s="48"/>
      <c r="E7" s="47" t="s">
        <v>1</v>
      </c>
      <c r="F7" s="53"/>
      <c r="G7" s="1" t="s">
        <v>2</v>
      </c>
    </row>
    <row r="8" spans="1:11" x14ac:dyDescent="0.25">
      <c r="A8" s="7">
        <v>45251</v>
      </c>
      <c r="B8" s="28" t="s">
        <v>39</v>
      </c>
      <c r="C8" s="49" t="s">
        <v>58</v>
      </c>
      <c r="D8" s="50"/>
      <c r="E8" s="49" t="s">
        <v>59</v>
      </c>
      <c r="F8" s="54"/>
      <c r="G8" s="8">
        <v>13000</v>
      </c>
      <c r="I8" s="9"/>
      <c r="J8" s="9"/>
      <c r="K8" s="9"/>
    </row>
    <row r="9" spans="1:11" x14ac:dyDescent="0.25">
      <c r="A9" s="7">
        <v>45252</v>
      </c>
      <c r="B9" s="28" t="s">
        <v>39</v>
      </c>
      <c r="C9" s="49" t="s">
        <v>58</v>
      </c>
      <c r="D9" s="50"/>
      <c r="E9" s="49" t="s">
        <v>60</v>
      </c>
      <c r="F9" s="54"/>
      <c r="G9" s="8">
        <v>23000</v>
      </c>
      <c r="I9" s="9"/>
      <c r="J9" s="9"/>
      <c r="K9" s="9"/>
    </row>
    <row r="10" spans="1:11" ht="18" customHeight="1" x14ac:dyDescent="0.25">
      <c r="A10" s="11"/>
      <c r="B10" s="12"/>
      <c r="E10" s="46" t="s">
        <v>3</v>
      </c>
      <c r="F10" s="46"/>
      <c r="G10" s="10">
        <f>SUM(G8:G9)</f>
        <v>36000</v>
      </c>
    </row>
    <row r="11" spans="1:11" ht="18" customHeight="1" x14ac:dyDescent="0.25">
      <c r="A11" s="11"/>
      <c r="B11" s="12"/>
      <c r="E11" s="26"/>
      <c r="F11" s="26"/>
      <c r="G11" s="27"/>
    </row>
    <row r="12" spans="1:11" ht="18" customHeight="1" x14ac:dyDescent="0.25">
      <c r="A12" s="11"/>
      <c r="B12" s="12"/>
      <c r="E12" s="26"/>
      <c r="F12" s="26"/>
      <c r="G12" s="27"/>
    </row>
    <row r="13" spans="1:11" ht="18" customHeight="1" x14ac:dyDescent="0.25">
      <c r="A13" s="11"/>
      <c r="B13" s="12"/>
      <c r="G13" s="13"/>
    </row>
    <row r="14" spans="1:11" ht="18" customHeight="1" x14ac:dyDescent="0.25">
      <c r="A14" s="45" t="s">
        <v>9</v>
      </c>
      <c r="B14" s="45"/>
      <c r="C14" s="18">
        <v>111760</v>
      </c>
      <c r="D14" s="23"/>
      <c r="E14" s="23"/>
      <c r="F14" s="23"/>
      <c r="G14" s="13"/>
    </row>
    <row r="15" spans="1:11" ht="18" customHeight="1" x14ac:dyDescent="0.25">
      <c r="A15" s="45" t="s">
        <v>15</v>
      </c>
      <c r="B15" s="45"/>
      <c r="C15" s="18">
        <f>+G10</f>
        <v>36000</v>
      </c>
      <c r="D15" s="23"/>
      <c r="E15" s="23"/>
      <c r="F15" s="23"/>
      <c r="G15" s="13"/>
    </row>
    <row r="16" spans="1:11" ht="18" customHeight="1" x14ac:dyDescent="0.25">
      <c r="A16" s="45" t="s">
        <v>16</v>
      </c>
      <c r="B16" s="45"/>
      <c r="C16" s="18">
        <f>+C14-C15</f>
        <v>75760</v>
      </c>
      <c r="D16" s="23"/>
      <c r="E16" s="23"/>
      <c r="F16" s="23"/>
      <c r="G16" s="13"/>
    </row>
    <row r="17" spans="1:7" ht="18" customHeight="1" x14ac:dyDescent="0.25">
      <c r="A17" s="11"/>
      <c r="B17" s="12"/>
      <c r="G17" s="14"/>
    </row>
    <row r="18" spans="1:7" ht="18" customHeight="1" x14ac:dyDescent="0.25">
      <c r="A18" s="63" t="s">
        <v>10</v>
      </c>
      <c r="B18" s="64"/>
      <c r="C18" s="45" t="s">
        <v>61</v>
      </c>
      <c r="D18" s="45"/>
      <c r="E18" s="45"/>
      <c r="F18" s="45"/>
      <c r="G18" s="45"/>
    </row>
    <row r="19" spans="1:7" ht="18" customHeight="1" x14ac:dyDescent="0.25">
      <c r="A19" s="65"/>
      <c r="B19" s="66"/>
      <c r="C19" s="45"/>
      <c r="D19" s="45"/>
      <c r="E19" s="45"/>
      <c r="F19" s="45"/>
      <c r="G19" s="45"/>
    </row>
    <row r="20" spans="1:7" ht="18" customHeight="1" x14ac:dyDescent="0.25">
      <c r="A20" s="11"/>
      <c r="C20" s="15"/>
      <c r="D20" s="15"/>
      <c r="E20" s="15"/>
      <c r="F20" s="15"/>
      <c r="G20" s="11"/>
    </row>
    <row r="21" spans="1:7" ht="19.5" customHeight="1" x14ac:dyDescent="0.25">
      <c r="A21" s="17" t="s">
        <v>17</v>
      </c>
      <c r="B21" s="16"/>
      <c r="C21" s="2"/>
      <c r="D21" s="15"/>
      <c r="E21" s="15"/>
      <c r="F21" s="15"/>
      <c r="G21" s="11"/>
    </row>
    <row r="22" spans="1:7" ht="19.5" customHeight="1" x14ac:dyDescent="0.25">
      <c r="A22" s="17" t="s">
        <v>7</v>
      </c>
      <c r="B22" s="16" t="s">
        <v>40</v>
      </c>
      <c r="C22" s="2"/>
      <c r="D22" s="15"/>
      <c r="E22" s="15"/>
      <c r="F22" s="15"/>
      <c r="G22" s="11"/>
    </row>
    <row r="23" spans="1:7" ht="18" customHeight="1" x14ac:dyDescent="0.25">
      <c r="A23" s="12"/>
      <c r="B23" s="17"/>
      <c r="C23" s="15"/>
      <c r="D23" s="15"/>
      <c r="E23" s="15"/>
      <c r="F23" s="15"/>
      <c r="G23" s="11"/>
    </row>
    <row r="24" spans="1:7" x14ac:dyDescent="0.25">
      <c r="A24" s="17" t="s">
        <v>8</v>
      </c>
      <c r="B24" s="16"/>
      <c r="C24" s="2"/>
      <c r="D24" s="15"/>
      <c r="E24" s="15"/>
      <c r="F24" s="15"/>
      <c r="G24" s="11"/>
    </row>
    <row r="25" spans="1:7" x14ac:dyDescent="0.25">
      <c r="B25" s="17"/>
    </row>
    <row r="26" spans="1:7" ht="16.5" customHeight="1" x14ac:dyDescent="0.25">
      <c r="A26" s="60" t="s">
        <v>18</v>
      </c>
      <c r="B26" s="61"/>
      <c r="C26" s="61"/>
      <c r="D26" s="61"/>
      <c r="E26" s="61"/>
      <c r="F26" s="61"/>
      <c r="G26" s="62"/>
    </row>
    <row r="27" spans="1:7" x14ac:dyDescent="0.25">
      <c r="A27" s="19" t="s">
        <v>19</v>
      </c>
      <c r="B27" s="58" t="s">
        <v>20</v>
      </c>
      <c r="C27" s="59"/>
      <c r="D27" s="59"/>
      <c r="E27" s="59"/>
      <c r="F27" s="59"/>
      <c r="G27" s="19" t="s">
        <v>21</v>
      </c>
    </row>
    <row r="28" spans="1:7" ht="16.5" customHeight="1" x14ac:dyDescent="0.25">
      <c r="A28" s="20">
        <v>1</v>
      </c>
      <c r="B28" s="56"/>
      <c r="C28" s="57"/>
      <c r="D28" s="57"/>
      <c r="E28" s="57"/>
      <c r="F28" s="57"/>
      <c r="G28" s="21">
        <v>44067</v>
      </c>
    </row>
    <row r="29" spans="1:7" ht="16.5" customHeight="1" x14ac:dyDescent="0.25">
      <c r="A29" s="20">
        <v>2</v>
      </c>
      <c r="B29" s="56" t="s">
        <v>25</v>
      </c>
      <c r="C29" s="57"/>
      <c r="D29" s="57"/>
      <c r="E29" s="57"/>
      <c r="F29" s="57"/>
      <c r="G29" s="21">
        <v>44989</v>
      </c>
    </row>
    <row r="30" spans="1:7" ht="27" customHeight="1" x14ac:dyDescent="0.25">
      <c r="A30" s="51" t="s">
        <v>22</v>
      </c>
      <c r="B30" s="55"/>
      <c r="C30" s="52"/>
      <c r="D30" s="51" t="s">
        <v>23</v>
      </c>
      <c r="E30" s="55"/>
      <c r="F30" s="52"/>
      <c r="G30" s="29" t="s">
        <v>56</v>
      </c>
    </row>
  </sheetData>
  <mergeCells count="21">
    <mergeCell ref="A30:C30"/>
    <mergeCell ref="D30:F30"/>
    <mergeCell ref="A18:B19"/>
    <mergeCell ref="C18:G19"/>
    <mergeCell ref="A26:G26"/>
    <mergeCell ref="B27:F27"/>
    <mergeCell ref="B28:F28"/>
    <mergeCell ref="B29:F29"/>
    <mergeCell ref="E10:F10"/>
    <mergeCell ref="A14:B14"/>
    <mergeCell ref="A15:B15"/>
    <mergeCell ref="A16:B16"/>
    <mergeCell ref="C9:D9"/>
    <mergeCell ref="E9:F9"/>
    <mergeCell ref="A1:B3"/>
    <mergeCell ref="C1:F3"/>
    <mergeCell ref="A5:B5"/>
    <mergeCell ref="C7:D7"/>
    <mergeCell ref="E7:F7"/>
    <mergeCell ref="C8:D8"/>
    <mergeCell ref="E8:F8"/>
  </mergeCells>
  <pageMargins left="0.70866141732283472" right="0.70866141732283472" top="0.74803149606299213" bottom="0.74803149606299213" header="0.31496062992125984" footer="0.31496062992125984"/>
  <pageSetup scale="86" orientation="landscape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LEGALIZACION</vt:lpstr>
      <vt:lpstr>Hoja1</vt:lpstr>
      <vt:lpstr>viajes</vt:lpstr>
      <vt:lpstr>Hoja1!Área_de_impresión</vt:lpstr>
      <vt:lpstr>viajes!Área_de_impresión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WinuE</dc:creator>
  <cp:lastModifiedBy>Hp</cp:lastModifiedBy>
  <cp:lastPrinted>2023-11-23T20:08:06Z</cp:lastPrinted>
  <dcterms:created xsi:type="dcterms:W3CDTF">2013-11-14T20:59:11Z</dcterms:created>
  <dcterms:modified xsi:type="dcterms:W3CDTF">2023-11-23T20:11:31Z</dcterms:modified>
</cp:coreProperties>
</file>