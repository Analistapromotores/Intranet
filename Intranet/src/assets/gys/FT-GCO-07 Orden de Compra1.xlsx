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CTIVOS FIJOS\Desktop\COMPRAS\FORMATOS COMPRAS\"/>
    </mc:Choice>
  </mc:AlternateContent>
  <xr:revisionPtr revIDLastSave="0" documentId="13_ncr:1_{C6A62F1D-E461-43D2-B334-5E66C323ACAE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RMATO" sheetId="1" r:id="rId1"/>
  </sheets>
  <calcPr calcId="191029"/>
  <extLst>
    <ext uri="GoogleSheetsCustomDataVersion2">
      <go:sheetsCustomData xmlns:go="http://customooxmlschemas.google.com/" r:id="rId6" roundtripDataChecksum="lKkTz6QEEUdS7HpdfIsffNDbZtXfBcAS1RPFC9i8qu8="/>
    </ext>
  </extLst>
</workbook>
</file>

<file path=xl/calcChain.xml><?xml version="1.0" encoding="utf-8"?>
<calcChain xmlns="http://schemas.openxmlformats.org/spreadsheetml/2006/main">
  <c r="F44" i="1" l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45" i="1" l="1"/>
  <c r="F46" i="1" s="1"/>
  <c r="F47" i="1" s="1"/>
</calcChain>
</file>

<file path=xl/sharedStrings.xml><?xml version="1.0" encoding="utf-8"?>
<sst xmlns="http://schemas.openxmlformats.org/spreadsheetml/2006/main" count="41" uniqueCount="39">
  <si>
    <t>ORDEN DE COMPRA</t>
  </si>
  <si>
    <t>ORDEN DE COMPRA N°:</t>
  </si>
  <si>
    <t>FECHA:</t>
  </si>
  <si>
    <t>Cali - Valle</t>
  </si>
  <si>
    <t>Correo electrónico:</t>
  </si>
  <si>
    <t>NOMBRE SOLICITANTE:</t>
  </si>
  <si>
    <t xml:space="preserve">Teléfono contacto: </t>
  </si>
  <si>
    <t>CARGO:</t>
  </si>
  <si>
    <t>DATOS DEL PROVEEDOR</t>
  </si>
  <si>
    <t>Razón Social:</t>
  </si>
  <si>
    <t>Contacto:</t>
  </si>
  <si>
    <t>Nit ó Cedula:</t>
  </si>
  <si>
    <t>Cargo:</t>
  </si>
  <si>
    <t>Ciudad:</t>
  </si>
  <si>
    <t>Email:</t>
  </si>
  <si>
    <t>Dirección:</t>
  </si>
  <si>
    <t>Celular:</t>
  </si>
  <si>
    <t>DATOS DE LA NEGOCIACIÓN Y ENTREGA</t>
  </si>
  <si>
    <t>Tiempo de entrega:</t>
  </si>
  <si>
    <t>Dir. de entrega:</t>
  </si>
  <si>
    <t>Forma de Pago:</t>
  </si>
  <si>
    <t>Descuento:</t>
  </si>
  <si>
    <t>No.</t>
  </si>
  <si>
    <t>Cantidad</t>
  </si>
  <si>
    <t>Valor Unitario</t>
  </si>
  <si>
    <t>Valor Total</t>
  </si>
  <si>
    <t xml:space="preserve">Subtotal </t>
  </si>
  <si>
    <t>IVA</t>
  </si>
  <si>
    <t xml:space="preserve">Total </t>
  </si>
  <si>
    <t>OBSERVACIONES FINALES</t>
  </si>
  <si>
    <r>
      <t xml:space="preserve">Código: </t>
    </r>
    <r>
      <rPr>
        <sz val="10"/>
        <color theme="1"/>
        <rFont val="Century Gothic"/>
        <family val="2"/>
      </rPr>
      <t>FT-GCO-07</t>
    </r>
  </si>
  <si>
    <r>
      <t xml:space="preserve">Página: </t>
    </r>
    <r>
      <rPr>
        <sz val="10"/>
        <color theme="1"/>
        <rFont val="Century Gothic"/>
        <family val="2"/>
      </rPr>
      <t>1 de 1</t>
    </r>
  </si>
  <si>
    <t>Descripción ó Nombre del Articulo o Servicio</t>
  </si>
  <si>
    <t>Nit.: 900.158.315-9</t>
  </si>
  <si>
    <t>Calle 13 # 64 - 30</t>
  </si>
  <si>
    <t>Gestión y Servicios Corporativos EST S.A.S.</t>
  </si>
  <si>
    <r>
      <t xml:space="preserve">Edición: </t>
    </r>
    <r>
      <rPr>
        <sz val="10"/>
        <color theme="1"/>
        <rFont val="Century Gothic"/>
        <family val="2"/>
      </rPr>
      <t>Agosto 2025</t>
    </r>
  </si>
  <si>
    <r>
      <t xml:space="preserve">Versión: </t>
    </r>
    <r>
      <rPr>
        <sz val="10"/>
        <rFont val="Century Gothic"/>
        <family val="2"/>
      </rPr>
      <t>03</t>
    </r>
  </si>
  <si>
    <t xml:space="preserve">COMPRADOR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</si>
</sst>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&quot;$&quot;\ #,##0.00"/>
    <numFmt numFmtId="166" formatCode="&quot;$&quot;\ #,##0"/>
  </numFmts>
  <fonts count="15" x14ac:knownFonts="1">
    <font>
      <sz val="11"/>
      <color theme="1"/>
      <name val="Calibri"/>
      <scheme val="minor"/>
    </font>
    <font>
      <sz val="9"/>
      <color theme="1"/>
      <name val="Century Gothic"/>
      <family val="2"/>
    </font>
    <font>
      <b/>
      <sz val="11"/>
      <color theme="1"/>
      <name val="Century Gothic"/>
      <family val="2"/>
    </font>
    <font>
      <sz val="11"/>
      <name val="Century Gothic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b/>
      <sz val="9"/>
      <color theme="1"/>
      <name val="Century Gothic"/>
      <family val="2"/>
    </font>
    <font>
      <u/>
      <sz val="11"/>
      <color theme="10"/>
      <name val="Century Gothic"/>
      <family val="2"/>
    </font>
    <font>
      <sz val="9"/>
      <color rgb="FF000000"/>
      <name val="Century Gothic"/>
      <family val="2"/>
    </font>
    <font>
      <sz val="11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u/>
      <sz val="11"/>
      <color theme="1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9">
    <xf numFmtId="0" fontId="0" fillId="0" borderId="0" xfId="0" applyFont="1" applyAlignment="1"/>
    <xf numFmtId="0" fontId="4" fillId="0" borderId="5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6" fillId="0" borderId="0" xfId="0" applyFont="1" applyAlignment="1"/>
    <xf numFmtId="0" fontId="4" fillId="0" borderId="5" xfId="0" applyFont="1" applyBorder="1" applyAlignment="1">
      <alignment horizontal="left" vertical="center" wrapText="1"/>
    </xf>
    <xf numFmtId="15" fontId="4" fillId="0" borderId="5" xfId="0" applyNumberFormat="1" applyFont="1" applyBorder="1" applyAlignment="1">
      <alignment horizontal="left" vertical="center"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" fillId="0" borderId="5" xfId="0" applyFont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9" fillId="4" borderId="5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left" vertical="center"/>
    </xf>
    <xf numFmtId="165" fontId="10" fillId="4" borderId="5" xfId="0" applyNumberFormat="1" applyFont="1" applyFill="1" applyBorder="1" applyAlignment="1">
      <alignment horizontal="center"/>
    </xf>
    <xf numFmtId="165" fontId="11" fillId="4" borderId="5" xfId="0" applyNumberFormat="1" applyFont="1" applyFill="1" applyBorder="1" applyAlignment="1">
      <alignment horizontal="center"/>
    </xf>
    <xf numFmtId="0" fontId="6" fillId="4" borderId="17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165" fontId="9" fillId="4" borderId="5" xfId="0" applyNumberFormat="1" applyFont="1" applyFill="1" applyBorder="1" applyAlignment="1">
      <alignment horizontal="right" vertical="center"/>
    </xf>
    <xf numFmtId="165" fontId="4" fillId="2" borderId="5" xfId="0" applyNumberFormat="1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left" vertical="center" wrapText="1"/>
    </xf>
    <xf numFmtId="165" fontId="4" fillId="2" borderId="17" xfId="0" applyNumberFormat="1" applyFont="1" applyFill="1" applyBorder="1" applyAlignment="1">
      <alignment horizontal="center" vertical="center"/>
    </xf>
    <xf numFmtId="165" fontId="4" fillId="2" borderId="17" xfId="0" applyNumberFormat="1" applyFont="1" applyFill="1" applyBorder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5" fillId="5" borderId="0" xfId="0" applyFont="1" applyFill="1" applyAlignment="1">
      <alignment vertical="center"/>
    </xf>
    <xf numFmtId="0" fontId="12" fillId="5" borderId="5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166" fontId="10" fillId="4" borderId="5" xfId="0" applyNumberFormat="1" applyFont="1" applyFill="1" applyBorder="1" applyAlignment="1">
      <alignment horizontal="center"/>
    </xf>
    <xf numFmtId="0" fontId="1" fillId="0" borderId="24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9" fillId="4" borderId="18" xfId="0" applyFont="1" applyFill="1" applyBorder="1" applyAlignment="1">
      <alignment horizontal="left" vertical="center"/>
    </xf>
    <xf numFmtId="0" fontId="3" fillId="0" borderId="20" xfId="0" applyFont="1" applyBorder="1"/>
    <xf numFmtId="0" fontId="4" fillId="2" borderId="21" xfId="0" applyFont="1" applyFill="1" applyBorder="1" applyAlignment="1">
      <alignment horizontal="left" vertical="center" wrapText="1"/>
    </xf>
    <xf numFmtId="0" fontId="3" fillId="0" borderId="22" xfId="0" applyFont="1" applyBorder="1"/>
    <xf numFmtId="0" fontId="3" fillId="0" borderId="23" xfId="0" applyFont="1" applyBorder="1"/>
    <xf numFmtId="0" fontId="6" fillId="0" borderId="0" xfId="0" applyFont="1" applyAlignment="1"/>
    <xf numFmtId="0" fontId="7" fillId="3" borderId="1" xfId="0" applyFont="1" applyFill="1" applyBorder="1" applyAlignment="1">
      <alignment horizontal="center" vertical="center" wrapText="1"/>
    </xf>
    <xf numFmtId="0" fontId="3" fillId="0" borderId="9" xfId="0" applyFont="1" applyBorder="1"/>
    <xf numFmtId="0" fontId="1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3" fillId="0" borderId="16" xfId="0" applyFont="1" applyBorder="1"/>
    <xf numFmtId="0" fontId="1" fillId="2" borderId="18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14" fillId="0" borderId="18" xfId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0" borderId="19" xfId="0" applyFont="1" applyBorder="1"/>
    <xf numFmtId="0" fontId="4" fillId="2" borderId="13" xfId="0" applyFont="1" applyFill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180976</xdr:rowOff>
    </xdr:from>
    <xdr:to>
      <xdr:col>0</xdr:col>
      <xdr:colOff>1295400</xdr:colOff>
      <xdr:row>2</xdr:row>
      <xdr:rowOff>192536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712" t="17928" r="8427" b="19119"/>
        <a:stretch/>
      </xdr:blipFill>
      <xdr:spPr>
        <a:xfrm>
          <a:off x="47626" y="180976"/>
          <a:ext cx="1247774" cy="430660"/>
        </a:xfrm>
        <a:prstGeom prst="rect">
          <a:avLst/>
        </a:prstGeom>
      </xdr:spPr>
    </xdr:pic>
    <xdr:clientData/>
  </xdr:twoCellAnchor>
  <xdr:twoCellAnchor editAs="oneCell">
    <xdr:from>
      <xdr:col>5</xdr:col>
      <xdr:colOff>38099</xdr:colOff>
      <xdr:row>51</xdr:row>
      <xdr:rowOff>76200</xdr:rowOff>
    </xdr:from>
    <xdr:to>
      <xdr:col>5</xdr:col>
      <xdr:colOff>1276348</xdr:colOff>
      <xdr:row>52</xdr:row>
      <xdr:rowOff>171450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363A64FE-9BE9-4D5E-9021-49BF42BE3B2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sharpenSoften amount="25000"/>
                  </a14:imgEffect>
                  <a14:imgEffect>
                    <a14:brightnessContrast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8499" y="10039350"/>
          <a:ext cx="1238249" cy="2857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showGridLines="0" tabSelected="1" workbookViewId="0">
      <selection activeCell="B25" sqref="B25:C25"/>
    </sheetView>
  </sheetViews>
  <sheetFormatPr baseColWidth="10" defaultColWidth="14.42578125" defaultRowHeight="15" customHeight="1" x14ac:dyDescent="0.3"/>
  <cols>
    <col min="1" max="1" width="20.42578125" style="3" customWidth="1"/>
    <col min="2" max="2" width="33.7109375" style="3" customWidth="1"/>
    <col min="3" max="3" width="17.5703125" style="3" customWidth="1"/>
    <col min="4" max="4" width="17.140625" style="3" customWidth="1"/>
    <col min="5" max="5" width="16.28515625" style="3" customWidth="1"/>
    <col min="6" max="6" width="20.42578125" style="3" customWidth="1"/>
    <col min="7" max="9" width="9.140625" style="3" customWidth="1"/>
    <col min="10" max="10" width="11.28515625" style="3" customWidth="1"/>
    <col min="11" max="26" width="9.140625" style="3" customWidth="1"/>
    <col min="27" max="16384" width="14.42578125" style="3"/>
  </cols>
  <sheetData>
    <row r="1" spans="1:26" ht="16.5" x14ac:dyDescent="0.3">
      <c r="A1" s="68"/>
      <c r="B1" s="70" t="s">
        <v>0</v>
      </c>
      <c r="C1" s="71"/>
      <c r="D1" s="71"/>
      <c r="E1" s="72"/>
      <c r="F1" s="1" t="s">
        <v>30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6.5" x14ac:dyDescent="0.3">
      <c r="A2" s="69"/>
      <c r="B2" s="73"/>
      <c r="C2" s="50"/>
      <c r="D2" s="50"/>
      <c r="E2" s="74"/>
      <c r="F2" s="38" t="s">
        <v>37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6.5" x14ac:dyDescent="0.3">
      <c r="A3" s="69"/>
      <c r="B3" s="73"/>
      <c r="C3" s="50"/>
      <c r="D3" s="50"/>
      <c r="E3" s="74"/>
      <c r="F3" s="4" t="s">
        <v>31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6.5" x14ac:dyDescent="0.3">
      <c r="A4" s="52"/>
      <c r="B4" s="75"/>
      <c r="C4" s="76"/>
      <c r="D4" s="76"/>
      <c r="E4" s="77"/>
      <c r="F4" s="5" t="s">
        <v>36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8.25" customHeight="1" x14ac:dyDescent="0.3">
      <c r="A5" s="6"/>
      <c r="B5" s="6"/>
      <c r="C5" s="6"/>
      <c r="D5" s="6"/>
      <c r="E5" s="6"/>
      <c r="F5" s="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3">
      <c r="A6" s="7" t="s">
        <v>35</v>
      </c>
      <c r="B6" s="8"/>
      <c r="C6" s="8"/>
      <c r="D6" s="67" t="s">
        <v>1</v>
      </c>
      <c r="E6" s="78"/>
      <c r="F6" s="39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3">
      <c r="A7" s="37" t="s">
        <v>33</v>
      </c>
      <c r="B7" s="8"/>
      <c r="C7" s="8"/>
      <c r="D7" s="67" t="s">
        <v>2</v>
      </c>
      <c r="E7" s="60"/>
      <c r="F7" s="40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.5" customHeight="1" x14ac:dyDescent="0.3">
      <c r="A8" s="37" t="s">
        <v>3</v>
      </c>
      <c r="B8" s="8"/>
      <c r="C8" s="8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3">
      <c r="A9" s="37" t="s">
        <v>34</v>
      </c>
      <c r="B9" s="8"/>
      <c r="C9" s="2"/>
      <c r="D9" s="2"/>
      <c r="E9" s="8"/>
      <c r="F9" s="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3">
      <c r="A10" s="8" t="s">
        <v>4</v>
      </c>
      <c r="B10" s="9"/>
      <c r="C10" s="8"/>
      <c r="D10" s="67" t="s">
        <v>5</v>
      </c>
      <c r="E10" s="78"/>
      <c r="F10" s="41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3">
      <c r="A11" s="11" t="s">
        <v>6</v>
      </c>
      <c r="B11" s="8"/>
      <c r="C11" s="8"/>
      <c r="D11" s="67" t="s">
        <v>7</v>
      </c>
      <c r="E11" s="60"/>
      <c r="F11" s="10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9" customHeight="1" x14ac:dyDescent="0.3">
      <c r="A12" s="6"/>
      <c r="B12" s="6"/>
      <c r="C12" s="6"/>
      <c r="D12" s="6"/>
      <c r="E12" s="6"/>
      <c r="F12" s="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8" customHeight="1" x14ac:dyDescent="0.3">
      <c r="A13" s="65" t="s">
        <v>8</v>
      </c>
      <c r="B13" s="66"/>
      <c r="C13" s="66"/>
      <c r="D13" s="66"/>
      <c r="E13" s="66"/>
      <c r="F13" s="46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2" t="s">
        <v>9</v>
      </c>
      <c r="B14" s="61"/>
      <c r="C14" s="46"/>
      <c r="D14" s="13" t="s">
        <v>10</v>
      </c>
      <c r="E14" s="64"/>
      <c r="F14" s="4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2" t="s">
        <v>11</v>
      </c>
      <c r="B15" s="61"/>
      <c r="C15" s="46"/>
      <c r="D15" s="12" t="s">
        <v>12</v>
      </c>
      <c r="E15" s="64"/>
      <c r="F15" s="4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2" t="s">
        <v>13</v>
      </c>
      <c r="B16" s="61"/>
      <c r="C16" s="46"/>
      <c r="D16" s="12" t="s">
        <v>14</v>
      </c>
      <c r="E16" s="63"/>
      <c r="F16" s="46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3" t="s">
        <v>15</v>
      </c>
      <c r="B17" s="61"/>
      <c r="C17" s="46"/>
      <c r="D17" s="12" t="s">
        <v>16</v>
      </c>
      <c r="E17" s="64"/>
      <c r="F17" s="46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6.5" x14ac:dyDescent="0.3">
      <c r="A18" s="59"/>
      <c r="B18" s="60"/>
      <c r="C18" s="60"/>
      <c r="D18" s="60"/>
      <c r="E18" s="60"/>
      <c r="F18" s="6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 x14ac:dyDescent="0.3">
      <c r="A19" s="65" t="s">
        <v>17</v>
      </c>
      <c r="B19" s="66"/>
      <c r="C19" s="66"/>
      <c r="D19" s="66"/>
      <c r="E19" s="66"/>
      <c r="F19" s="46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6.5" customHeight="1" x14ac:dyDescent="0.3">
      <c r="A20" s="12" t="s">
        <v>18</v>
      </c>
      <c r="B20" s="61"/>
      <c r="C20" s="46"/>
      <c r="D20" s="12" t="s">
        <v>19</v>
      </c>
      <c r="E20" s="64"/>
      <c r="F20" s="4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6.5" customHeight="1" x14ac:dyDescent="0.3">
      <c r="A21" s="12" t="s">
        <v>20</v>
      </c>
      <c r="B21" s="61"/>
      <c r="C21" s="46"/>
      <c r="D21" s="12" t="s">
        <v>10</v>
      </c>
      <c r="E21" s="64"/>
      <c r="F21" s="46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6.5" customHeight="1" x14ac:dyDescent="0.3">
      <c r="A22" s="13" t="s">
        <v>21</v>
      </c>
      <c r="B22" s="61"/>
      <c r="C22" s="46"/>
      <c r="D22" s="12" t="s">
        <v>16</v>
      </c>
      <c r="E22" s="64"/>
      <c r="F22" s="4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59"/>
      <c r="B23" s="60"/>
      <c r="C23" s="60"/>
      <c r="D23" s="60"/>
      <c r="E23" s="60"/>
      <c r="F23" s="6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1" customHeight="1" x14ac:dyDescent="0.3">
      <c r="A24" s="14" t="s">
        <v>22</v>
      </c>
      <c r="B24" s="62" t="s">
        <v>32</v>
      </c>
      <c r="C24" s="46"/>
      <c r="D24" s="15" t="s">
        <v>23</v>
      </c>
      <c r="E24" s="15" t="s">
        <v>24</v>
      </c>
      <c r="F24" s="15" t="s">
        <v>25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3">
      <c r="A25" s="16">
        <v>1</v>
      </c>
      <c r="B25" s="45"/>
      <c r="C25" s="46"/>
      <c r="D25" s="16"/>
      <c r="E25" s="42">
        <v>0</v>
      </c>
      <c r="F25" s="19">
        <f t="shared" ref="F25:F44" si="0">D25*E25</f>
        <v>0</v>
      </c>
      <c r="G25" s="20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3">
      <c r="A26" s="16">
        <v>2</v>
      </c>
      <c r="B26" s="45"/>
      <c r="C26" s="46"/>
      <c r="D26" s="17"/>
      <c r="E26" s="18"/>
      <c r="F26" s="19">
        <f t="shared" si="0"/>
        <v>0</v>
      </c>
      <c r="G26" s="2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3">
      <c r="A27" s="16">
        <v>3</v>
      </c>
      <c r="B27" s="45"/>
      <c r="C27" s="46"/>
      <c r="D27" s="17"/>
      <c r="E27" s="18"/>
      <c r="F27" s="19">
        <f t="shared" si="0"/>
        <v>0</v>
      </c>
      <c r="G27" s="2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3">
      <c r="A28" s="16">
        <v>4</v>
      </c>
      <c r="B28" s="45"/>
      <c r="C28" s="46"/>
      <c r="D28" s="17"/>
      <c r="E28" s="18"/>
      <c r="F28" s="19">
        <f t="shared" si="0"/>
        <v>0</v>
      </c>
      <c r="G28" s="2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3">
      <c r="A29" s="16">
        <v>5</v>
      </c>
      <c r="B29" s="45"/>
      <c r="C29" s="46"/>
      <c r="D29" s="17"/>
      <c r="E29" s="18"/>
      <c r="F29" s="19">
        <f t="shared" si="0"/>
        <v>0</v>
      </c>
      <c r="G29" s="2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3">
      <c r="A30" s="16">
        <v>6</v>
      </c>
      <c r="B30" s="45"/>
      <c r="C30" s="46"/>
      <c r="D30" s="17"/>
      <c r="E30" s="18"/>
      <c r="F30" s="19">
        <f t="shared" si="0"/>
        <v>0</v>
      </c>
      <c r="G30" s="2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3">
      <c r="A31" s="16">
        <v>7</v>
      </c>
      <c r="B31" s="45"/>
      <c r="C31" s="46"/>
      <c r="D31" s="17"/>
      <c r="E31" s="18"/>
      <c r="F31" s="19">
        <f t="shared" si="0"/>
        <v>0</v>
      </c>
      <c r="G31" s="2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3">
      <c r="A32" s="16">
        <v>8</v>
      </c>
      <c r="B32" s="45"/>
      <c r="C32" s="46"/>
      <c r="D32" s="17"/>
      <c r="E32" s="18"/>
      <c r="F32" s="19">
        <f t="shared" si="0"/>
        <v>0</v>
      </c>
      <c r="G32" s="21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3">
      <c r="A33" s="16">
        <v>9</v>
      </c>
      <c r="B33" s="45"/>
      <c r="C33" s="46"/>
      <c r="D33" s="17"/>
      <c r="E33" s="18"/>
      <c r="F33" s="19">
        <f t="shared" si="0"/>
        <v>0</v>
      </c>
      <c r="G33" s="2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3">
      <c r="A34" s="16">
        <v>10</v>
      </c>
      <c r="B34" s="45"/>
      <c r="C34" s="46"/>
      <c r="D34" s="17"/>
      <c r="E34" s="18"/>
      <c r="F34" s="19">
        <f t="shared" si="0"/>
        <v>0</v>
      </c>
      <c r="G34" s="2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3">
      <c r="A35" s="16">
        <v>11</v>
      </c>
      <c r="B35" s="45"/>
      <c r="C35" s="46"/>
      <c r="D35" s="17"/>
      <c r="E35" s="18"/>
      <c r="F35" s="19">
        <f t="shared" si="0"/>
        <v>0</v>
      </c>
      <c r="G35" s="2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3">
      <c r="A36" s="16">
        <v>12</v>
      </c>
      <c r="B36" s="45"/>
      <c r="C36" s="46"/>
      <c r="D36" s="17"/>
      <c r="E36" s="18"/>
      <c r="F36" s="19">
        <f t="shared" si="0"/>
        <v>0</v>
      </c>
      <c r="G36" s="2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3">
      <c r="A37" s="16">
        <v>13</v>
      </c>
      <c r="B37" s="45"/>
      <c r="C37" s="46"/>
      <c r="D37" s="17"/>
      <c r="E37" s="18"/>
      <c r="F37" s="19">
        <f t="shared" si="0"/>
        <v>0</v>
      </c>
      <c r="G37" s="2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3">
      <c r="A38" s="16">
        <v>14</v>
      </c>
      <c r="B38" s="45"/>
      <c r="C38" s="46"/>
      <c r="D38" s="17"/>
      <c r="E38" s="18"/>
      <c r="F38" s="19">
        <f t="shared" si="0"/>
        <v>0</v>
      </c>
      <c r="G38" s="2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3">
      <c r="A39" s="16">
        <v>15</v>
      </c>
      <c r="B39" s="45"/>
      <c r="C39" s="46"/>
      <c r="D39" s="17"/>
      <c r="E39" s="22"/>
      <c r="F39" s="19">
        <f t="shared" si="0"/>
        <v>0</v>
      </c>
      <c r="G39" s="2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3">
      <c r="A40" s="16">
        <v>16</v>
      </c>
      <c r="B40" s="45"/>
      <c r="C40" s="46"/>
      <c r="D40" s="17"/>
      <c r="E40" s="22"/>
      <c r="F40" s="19">
        <f t="shared" si="0"/>
        <v>0</v>
      </c>
      <c r="G40" s="2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3">
      <c r="A41" s="16">
        <v>17</v>
      </c>
      <c r="B41" s="45"/>
      <c r="C41" s="46"/>
      <c r="D41" s="17"/>
      <c r="E41" s="22"/>
      <c r="F41" s="19">
        <f t="shared" si="0"/>
        <v>0</v>
      </c>
      <c r="G41" s="2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3">
      <c r="A42" s="16">
        <v>18</v>
      </c>
      <c r="B42" s="45"/>
      <c r="C42" s="46"/>
      <c r="D42" s="17"/>
      <c r="E42" s="22"/>
      <c r="F42" s="19">
        <f t="shared" si="0"/>
        <v>0</v>
      </c>
      <c r="G42" s="2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3">
      <c r="A43" s="16">
        <v>19</v>
      </c>
      <c r="B43" s="45"/>
      <c r="C43" s="46"/>
      <c r="D43" s="17"/>
      <c r="E43" s="22"/>
      <c r="F43" s="19">
        <f t="shared" si="0"/>
        <v>0</v>
      </c>
      <c r="G43" s="2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3">
      <c r="A44" s="16">
        <v>20</v>
      </c>
      <c r="B44" s="45"/>
      <c r="C44" s="46"/>
      <c r="D44" s="17"/>
      <c r="E44" s="22"/>
      <c r="F44" s="19">
        <f t="shared" si="0"/>
        <v>0</v>
      </c>
      <c r="G44" s="2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3">
      <c r="A45" s="47"/>
      <c r="B45" s="48"/>
      <c r="C45" s="48"/>
      <c r="D45" s="48"/>
      <c r="E45" s="23" t="s">
        <v>26</v>
      </c>
      <c r="F45" s="24">
        <f>SUM(F25:F38)</f>
        <v>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 x14ac:dyDescent="0.3">
      <c r="A46" s="49"/>
      <c r="B46" s="50"/>
      <c r="C46" s="50"/>
      <c r="D46" s="50"/>
      <c r="E46" s="23" t="s">
        <v>27</v>
      </c>
      <c r="F46" s="24">
        <f>+F45*19%</f>
        <v>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 x14ac:dyDescent="0.3">
      <c r="A47" s="49"/>
      <c r="B47" s="50"/>
      <c r="C47" s="50"/>
      <c r="D47" s="50"/>
      <c r="E47" s="23" t="s">
        <v>28</v>
      </c>
      <c r="F47" s="24">
        <f>+F45+F46</f>
        <v>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3">
      <c r="A48" s="25"/>
      <c r="B48" s="25"/>
      <c r="C48" s="25"/>
      <c r="D48" s="25"/>
      <c r="E48" s="26"/>
      <c r="F48" s="27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3">
      <c r="A49" s="51" t="s">
        <v>29</v>
      </c>
      <c r="B49" s="53"/>
      <c r="C49" s="54"/>
      <c r="D49" s="54"/>
      <c r="E49" s="54"/>
      <c r="F49" s="5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23.25" customHeight="1" x14ac:dyDescent="0.3">
      <c r="A50" s="52"/>
      <c r="B50" s="56"/>
      <c r="C50" s="57"/>
      <c r="D50" s="57"/>
      <c r="E50" s="57"/>
      <c r="F50" s="58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" customHeight="1" x14ac:dyDescent="0.3">
      <c r="A51" s="28"/>
      <c r="B51" s="29"/>
      <c r="C51" s="29"/>
      <c r="D51" s="29"/>
      <c r="E51" s="29"/>
      <c r="F51" s="30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" customHeight="1" x14ac:dyDescent="0.3">
      <c r="A52" s="31"/>
      <c r="B52" s="6"/>
      <c r="C52" s="6"/>
      <c r="D52" s="6"/>
      <c r="E52" s="6"/>
      <c r="F52" s="3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" customHeight="1" thickBot="1" x14ac:dyDescent="0.35">
      <c r="A53" s="31"/>
      <c r="B53" s="6"/>
      <c r="C53" s="6"/>
      <c r="D53" s="6"/>
      <c r="E53" s="6"/>
      <c r="F53" s="4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" customHeight="1" x14ac:dyDescent="0.3">
      <c r="A54" s="33"/>
      <c r="B54" s="2"/>
      <c r="C54" s="2"/>
      <c r="D54" s="2"/>
      <c r="E54" s="2"/>
      <c r="F54" s="44" t="s">
        <v>38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" customHeight="1" x14ac:dyDescent="0.3">
      <c r="A55" s="34"/>
      <c r="B55" s="35"/>
      <c r="C55" s="35"/>
      <c r="D55" s="35"/>
      <c r="E55" s="35"/>
      <c r="F55" s="36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48">
    <mergeCell ref="A1:A4"/>
    <mergeCell ref="B1:E4"/>
    <mergeCell ref="D6:E6"/>
    <mergeCell ref="D7:E7"/>
    <mergeCell ref="D10:E10"/>
    <mergeCell ref="D11:E11"/>
    <mergeCell ref="A13:F13"/>
    <mergeCell ref="B14:C14"/>
    <mergeCell ref="E14:F14"/>
    <mergeCell ref="B15:C15"/>
    <mergeCell ref="E15:F15"/>
    <mergeCell ref="B16:C16"/>
    <mergeCell ref="E16:F16"/>
    <mergeCell ref="B17:C17"/>
    <mergeCell ref="E21:F21"/>
    <mergeCell ref="E22:F22"/>
    <mergeCell ref="E17:F17"/>
    <mergeCell ref="A18:F18"/>
    <mergeCell ref="A19:F19"/>
    <mergeCell ref="B20:C20"/>
    <mergeCell ref="E20:F20"/>
    <mergeCell ref="B21:C21"/>
    <mergeCell ref="A23:F23"/>
    <mergeCell ref="B22:C22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44:C44"/>
    <mergeCell ref="A45:D47"/>
    <mergeCell ref="A49:A50"/>
    <mergeCell ref="B49:F50"/>
    <mergeCell ref="B37:C37"/>
    <mergeCell ref="B38:C38"/>
    <mergeCell ref="B39:C39"/>
    <mergeCell ref="B40:C40"/>
    <mergeCell ref="B41:C41"/>
    <mergeCell ref="B42:C42"/>
    <mergeCell ref="B43:C43"/>
  </mergeCells>
  <pageMargins left="0.3" right="0.24" top="0.31" bottom="0.19685039370078741" header="0" footer="0"/>
  <pageSetup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ACTIVOS FIJOS</cp:lastModifiedBy>
  <cp:lastPrinted>2025-09-08T13:32:59Z</cp:lastPrinted>
  <dcterms:created xsi:type="dcterms:W3CDTF">2022-12-01T17:28:29Z</dcterms:created>
  <dcterms:modified xsi:type="dcterms:W3CDTF">2025-09-08T13:45:49Z</dcterms:modified>
</cp:coreProperties>
</file>